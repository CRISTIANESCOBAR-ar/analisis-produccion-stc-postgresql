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tc-produccion-v2\frontend\public\"/>
    </mc:Choice>
  </mc:AlternateContent>
  <xr:revisionPtr revIDLastSave="0" documentId="8_{8F88503E-422A-40C4-B0D5-5685D425ABA7}" xr6:coauthVersionLast="47" xr6:coauthVersionMax="47" xr10:uidLastSave="{00000000-0000-0000-0000-000000000000}"/>
  <bookViews>
    <workbookView xWindow="-108" yWindow="-108" windowWidth="23256" windowHeight="13896" xr2:uid="{2EDA1814-0715-4CEA-BF46-C05B49F52418}"/>
  </bookViews>
  <sheets>
    <sheet name="Tejeduría" sheetId="1" r:id="rId1"/>
  </sheets>
  <definedNames>
    <definedName name="_xlnm.Print_Area" localSheetId="0">Tejeduría!$B$2:$S$27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1" l="1"/>
  <c r="K20" i="1"/>
  <c r="K19" i="1"/>
  <c r="K25" i="1" s="1"/>
</calcChain>
</file>

<file path=xl/sharedStrings.xml><?xml version="1.0" encoding="utf-8"?>
<sst xmlns="http://schemas.openxmlformats.org/spreadsheetml/2006/main" count="57" uniqueCount="40">
  <si>
    <t>SANTANA TEXTIL CHACO S.A. – UNIDAD V - Eficiencia y Paradas – TEJEDURÍA</t>
  </si>
  <si>
    <t>Partida</t>
  </si>
  <si>
    <t>Artículo</t>
  </si>
  <si>
    <t>YIC20951C5 561C</t>
  </si>
  <si>
    <t>Nombre</t>
  </si>
  <si>
    <t>INFLUX</t>
  </si>
  <si>
    <t>Telar</t>
  </si>
  <si>
    <t>Trama</t>
  </si>
  <si>
    <t>166/48F NGO + 40D E:2.6 (STL) - UNIFI</t>
  </si>
  <si>
    <t>Pasadas</t>
  </si>
  <si>
    <t>Grupo</t>
  </si>
  <si>
    <t>06</t>
  </si>
  <si>
    <t>Base</t>
  </si>
  <si>
    <t>U12.5-5696560</t>
  </si>
  <si>
    <t>OE's</t>
  </si>
  <si>
    <t>3</t>
  </si>
  <si>
    <t>Fecha</t>
  </si>
  <si>
    <t>Tur</t>
  </si>
  <si>
    <t>Metros Crudos</t>
  </si>
  <si>
    <t>Metros Termin.</t>
  </si>
  <si>
    <t>Metros Term. Acumul.</t>
  </si>
  <si>
    <t>Defecto</t>
  </si>
  <si>
    <t>Inicio</t>
  </si>
  <si>
    <t>Final</t>
  </si>
  <si>
    <t>Sub Total Turno</t>
  </si>
  <si>
    <t>Total Turno m</t>
  </si>
  <si>
    <t>Paradas Trama</t>
  </si>
  <si>
    <t>Paradas Urdimbre</t>
  </si>
  <si>
    <t>Total Paradas</t>
  </si>
  <si>
    <t>Eficiencia %</t>
  </si>
  <si>
    <t>Roturas TRAMA 105</t>
  </si>
  <si>
    <t>Roturas URDIDO 105</t>
  </si>
  <si>
    <t>RPM</t>
  </si>
  <si>
    <t>A</t>
  </si>
  <si>
    <t>C</t>
  </si>
  <si>
    <t>B</t>
  </si>
  <si>
    <t>Total / Promedio</t>
  </si>
  <si>
    <t/>
  </si>
  <si>
    <t>Observaciones</t>
  </si>
  <si>
    <t>Hay informado 352 en el turno C del 03/05 a los 37 metros crudos del turno y el defecto aparece a los 100 metros del turno.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</si>
</sst>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-&quot;0000&quot;.&quot;00"/>
    <numFmt numFmtId="165" formatCode="ddd\ d/m/yyyy"/>
  </numFmts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Dash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Dashed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4" fontId="2" fillId="0" borderId="2" xfId="0" applyNumberFormat="1" applyFont="1" applyBorder="1" applyAlignment="1">
      <alignment horizontal="left" vertical="center" indent="1"/>
    </xf>
    <xf numFmtId="0" fontId="0" fillId="0" borderId="2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right" vertic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5" xfId="0" applyBorder="1"/>
    <xf numFmtId="0" fontId="0" fillId="0" borderId="6" xfId="0" applyBorder="1" applyAlignment="1">
      <alignment horizontal="right" vertical="center"/>
    </xf>
    <xf numFmtId="0" fontId="2" fillId="0" borderId="7" xfId="0" applyFont="1" applyBorder="1" applyAlignment="1">
      <alignment horizontal="left" indent="1"/>
    </xf>
    <xf numFmtId="0" fontId="0" fillId="0" borderId="7" xfId="0" applyBorder="1" applyAlignment="1">
      <alignment horizontal="right" vertical="center"/>
    </xf>
    <xf numFmtId="0" fontId="2" fillId="0" borderId="7" xfId="0" applyFont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3" fontId="0" fillId="2" borderId="19" xfId="0" applyNumberFormat="1" applyFill="1" applyBorder="1" applyAlignment="1">
      <alignment horizontal="center" vertical="center"/>
    </xf>
    <xf numFmtId="3" fontId="0" fillId="2" borderId="20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2" fillId="0" borderId="9" xfId="0" applyFont="1" applyBorder="1" applyAlignment="1">
      <alignment horizontal="left" vertical="center" inden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3AA0-026E-427A-8E9A-41E0183AC00B}">
  <sheetPr codeName="Hoja1">
    <pageSetUpPr fitToPage="1"/>
  </sheetPr>
  <dimension ref="B2:S27"/>
  <sheetViews>
    <sheetView tabSelected="1" topLeftCell="A16" workbookViewId="0">
      <selection activeCell="E29" sqref="E29:K41"/>
    </sheetView>
  </sheetViews>
  <sheetFormatPr baseColWidth="10" defaultRowHeight="15.6" x14ac:dyDescent="0.3"/>
  <cols>
    <col min="1" max="1" width="3.69921875" customWidth="1"/>
    <col min="2" max="2" width="14.69921875" customWidth="1"/>
    <col min="3" max="3" width="5.69921875" customWidth="1"/>
    <col min="4" max="4" width="14.69921875" customWidth="1"/>
    <col min="5" max="19" width="8.69921875" customWidth="1"/>
  </cols>
  <sheetData>
    <row r="2" spans="2:19" ht="25.2" customHeight="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 ht="19.95" customHeight="1" x14ac:dyDescent="0.3">
      <c r="B3" s="4" t="s">
        <v>1</v>
      </c>
      <c r="C3" s="5">
        <v>551120</v>
      </c>
      <c r="D3" s="5"/>
      <c r="E3" s="6" t="s">
        <v>2</v>
      </c>
      <c r="F3" s="7" t="s">
        <v>3</v>
      </c>
      <c r="G3" s="8"/>
      <c r="H3" s="9"/>
      <c r="I3" s="9"/>
      <c r="J3" s="6" t="s">
        <v>4</v>
      </c>
      <c r="K3" s="7" t="s">
        <v>5</v>
      </c>
      <c r="L3" s="9"/>
      <c r="M3" s="9"/>
      <c r="N3" s="9"/>
      <c r="O3" s="9"/>
      <c r="P3" s="9"/>
      <c r="Q3" s="9"/>
      <c r="R3" s="9"/>
      <c r="S3" s="10"/>
    </row>
    <row r="4" spans="2:19" ht="19.95" customHeight="1" x14ac:dyDescent="0.3">
      <c r="B4" s="11" t="s">
        <v>6</v>
      </c>
      <c r="C4" s="12">
        <v>15</v>
      </c>
      <c r="D4" s="12"/>
      <c r="E4" s="13" t="s">
        <v>7</v>
      </c>
      <c r="F4" s="14" t="s">
        <v>8</v>
      </c>
      <c r="G4" s="15"/>
      <c r="J4" s="13" t="s">
        <v>9</v>
      </c>
      <c r="K4" s="14">
        <v>23.5</v>
      </c>
      <c r="S4" s="16"/>
    </row>
    <row r="5" spans="2:19" ht="19.95" customHeight="1" x14ac:dyDescent="0.3">
      <c r="B5" s="17" t="s">
        <v>10</v>
      </c>
      <c r="C5" s="18" t="s">
        <v>11</v>
      </c>
      <c r="D5" s="18"/>
      <c r="E5" s="19" t="s">
        <v>12</v>
      </c>
      <c r="F5" s="20" t="s">
        <v>13</v>
      </c>
      <c r="G5" s="21"/>
      <c r="H5" s="22"/>
      <c r="I5" s="22"/>
      <c r="J5" s="19" t="s">
        <v>14</v>
      </c>
      <c r="K5" s="20" t="s">
        <v>15</v>
      </c>
      <c r="L5" s="22"/>
      <c r="M5" s="22"/>
      <c r="N5" s="22"/>
      <c r="O5" s="22"/>
      <c r="P5" s="22"/>
      <c r="Q5" s="22"/>
      <c r="R5" s="22"/>
      <c r="S5" s="23"/>
    </row>
    <row r="7" spans="2:19" s="30" customFormat="1" ht="46.8" x14ac:dyDescent="0.3">
      <c r="B7" s="24" t="s">
        <v>16</v>
      </c>
      <c r="C7" s="24" t="s">
        <v>17</v>
      </c>
      <c r="D7" s="24" t="s">
        <v>1</v>
      </c>
      <c r="E7" s="24" t="s">
        <v>18</v>
      </c>
      <c r="F7" s="24" t="s">
        <v>19</v>
      </c>
      <c r="G7" s="25" t="s">
        <v>20</v>
      </c>
      <c r="H7" s="26" t="s">
        <v>21</v>
      </c>
      <c r="I7" s="24" t="s">
        <v>22</v>
      </c>
      <c r="J7" s="24" t="s">
        <v>23</v>
      </c>
      <c r="K7" s="24" t="s">
        <v>24</v>
      </c>
      <c r="L7" s="27" t="s">
        <v>25</v>
      </c>
      <c r="M7" s="28" t="s">
        <v>26</v>
      </c>
      <c r="N7" s="24" t="s">
        <v>27</v>
      </c>
      <c r="O7" s="29" t="s">
        <v>28</v>
      </c>
      <c r="P7" s="28" t="s">
        <v>29</v>
      </c>
      <c r="Q7" s="24" t="s">
        <v>30</v>
      </c>
      <c r="R7" s="24" t="s">
        <v>31</v>
      </c>
      <c r="S7" s="24" t="s">
        <v>32</v>
      </c>
    </row>
    <row r="8" spans="2:19" ht="18" customHeight="1" x14ac:dyDescent="0.3">
      <c r="B8" s="31">
        <v>46150</v>
      </c>
      <c r="C8" s="32" t="s">
        <v>33</v>
      </c>
      <c r="D8" s="33">
        <v>551120</v>
      </c>
      <c r="E8" s="34">
        <v>31.9</v>
      </c>
      <c r="F8" s="34">
        <v>27.1</v>
      </c>
      <c r="G8" s="35">
        <v>27.1</v>
      </c>
      <c r="H8" s="36"/>
      <c r="I8" s="32"/>
      <c r="J8" s="32"/>
      <c r="K8" s="32"/>
      <c r="L8" s="37"/>
      <c r="M8" s="38">
        <v>2.2000000000000002</v>
      </c>
      <c r="N8" s="32">
        <v>4.7</v>
      </c>
      <c r="O8" s="39">
        <v>6.9</v>
      </c>
      <c r="P8" s="38">
        <v>59.9</v>
      </c>
      <c r="Q8" s="32">
        <v>2.9</v>
      </c>
      <c r="R8" s="32">
        <v>6.3</v>
      </c>
      <c r="S8" s="32">
        <v>835</v>
      </c>
    </row>
    <row r="9" spans="2:19" ht="18" customHeight="1" x14ac:dyDescent="0.3">
      <c r="B9" s="31">
        <v>46149</v>
      </c>
      <c r="C9" s="32" t="s">
        <v>34</v>
      </c>
      <c r="D9" s="33">
        <v>551120</v>
      </c>
      <c r="E9" s="34">
        <v>159.19999999999999</v>
      </c>
      <c r="F9" s="34">
        <v>135.30000000000001</v>
      </c>
      <c r="G9" s="35">
        <v>162.4</v>
      </c>
      <c r="H9" s="36"/>
      <c r="I9" s="32"/>
      <c r="J9" s="32"/>
      <c r="K9" s="32"/>
      <c r="L9" s="37"/>
      <c r="M9" s="38">
        <v>5</v>
      </c>
      <c r="N9" s="32">
        <v>2</v>
      </c>
      <c r="O9" s="39">
        <v>7</v>
      </c>
      <c r="P9" s="38">
        <v>93.9</v>
      </c>
      <c r="Q9" s="32">
        <v>1.3</v>
      </c>
      <c r="R9" s="32">
        <v>0.5</v>
      </c>
      <c r="S9" s="32">
        <v>830</v>
      </c>
    </row>
    <row r="10" spans="2:19" ht="18" customHeight="1" x14ac:dyDescent="0.3">
      <c r="B10" s="31">
        <v>46149</v>
      </c>
      <c r="C10" s="32" t="s">
        <v>35</v>
      </c>
      <c r="D10" s="33">
        <v>551120</v>
      </c>
      <c r="E10" s="34">
        <v>110.2</v>
      </c>
      <c r="F10" s="34">
        <v>93.7</v>
      </c>
      <c r="G10" s="35">
        <v>256.10000000000002</v>
      </c>
      <c r="H10" s="36"/>
      <c r="I10" s="32"/>
      <c r="J10" s="32"/>
      <c r="K10" s="32"/>
      <c r="L10" s="37"/>
      <c r="M10" s="38">
        <v>6</v>
      </c>
      <c r="N10" s="32">
        <v>2</v>
      </c>
      <c r="O10" s="39">
        <v>8</v>
      </c>
      <c r="P10" s="38">
        <v>65</v>
      </c>
      <c r="Q10" s="32">
        <v>2.2999999999999998</v>
      </c>
      <c r="R10" s="32">
        <v>0.8</v>
      </c>
      <c r="S10" s="32">
        <v>830</v>
      </c>
    </row>
    <row r="11" spans="2:19" ht="18" customHeight="1" x14ac:dyDescent="0.3">
      <c r="B11" s="31">
        <v>46149</v>
      </c>
      <c r="C11" s="32" t="s">
        <v>33</v>
      </c>
      <c r="D11" s="33">
        <v>551120</v>
      </c>
      <c r="E11" s="34">
        <v>159.6</v>
      </c>
      <c r="F11" s="34">
        <v>135.6</v>
      </c>
      <c r="G11" s="35">
        <v>391.70000000000005</v>
      </c>
      <c r="H11" s="36"/>
      <c r="I11" s="32"/>
      <c r="J11" s="32"/>
      <c r="K11" s="32"/>
      <c r="L11" s="37"/>
      <c r="M11" s="38">
        <v>26</v>
      </c>
      <c r="N11" s="32">
        <v>2</v>
      </c>
      <c r="O11" s="39">
        <v>28</v>
      </c>
      <c r="P11" s="38">
        <v>94.1</v>
      </c>
      <c r="Q11" s="32">
        <v>6.9</v>
      </c>
      <c r="R11" s="32">
        <v>0.5</v>
      </c>
      <c r="S11" s="32">
        <v>830</v>
      </c>
    </row>
    <row r="12" spans="2:19" ht="18" customHeight="1" x14ac:dyDescent="0.3">
      <c r="B12" s="31">
        <v>46148</v>
      </c>
      <c r="C12" s="32" t="s">
        <v>34</v>
      </c>
      <c r="D12" s="33">
        <v>551120</v>
      </c>
      <c r="E12" s="34">
        <v>156.19999999999999</v>
      </c>
      <c r="F12" s="34">
        <v>132.69999999999999</v>
      </c>
      <c r="G12" s="35">
        <v>524.40000000000009</v>
      </c>
      <c r="H12" s="36"/>
      <c r="I12" s="32"/>
      <c r="J12" s="32"/>
      <c r="K12" s="32"/>
      <c r="L12" s="37"/>
      <c r="M12" s="38">
        <v>18</v>
      </c>
      <c r="N12" s="32">
        <v>3</v>
      </c>
      <c r="O12" s="39">
        <v>21</v>
      </c>
      <c r="P12" s="38">
        <v>92.1</v>
      </c>
      <c r="Q12" s="32">
        <v>4.9000000000000004</v>
      </c>
      <c r="R12" s="32">
        <v>0.8</v>
      </c>
      <c r="S12" s="32">
        <v>830</v>
      </c>
    </row>
    <row r="13" spans="2:19" ht="18" customHeight="1" x14ac:dyDescent="0.3">
      <c r="B13" s="31">
        <v>46148</v>
      </c>
      <c r="C13" s="32" t="s">
        <v>35</v>
      </c>
      <c r="D13" s="33">
        <v>551120</v>
      </c>
      <c r="E13" s="34">
        <v>149.80000000000001</v>
      </c>
      <c r="F13" s="34">
        <v>127.3</v>
      </c>
      <c r="G13" s="35">
        <v>651.70000000000005</v>
      </c>
      <c r="H13" s="36"/>
      <c r="I13" s="32"/>
      <c r="J13" s="32"/>
      <c r="K13" s="32"/>
      <c r="L13" s="37"/>
      <c r="M13" s="38">
        <v>21</v>
      </c>
      <c r="N13" s="32">
        <v>1</v>
      </c>
      <c r="O13" s="39">
        <v>22</v>
      </c>
      <c r="P13" s="38">
        <v>88.4</v>
      </c>
      <c r="Q13" s="32">
        <v>6</v>
      </c>
      <c r="R13" s="32">
        <v>0.3</v>
      </c>
      <c r="S13" s="32">
        <v>830</v>
      </c>
    </row>
    <row r="14" spans="2:19" ht="18" customHeight="1" x14ac:dyDescent="0.3">
      <c r="B14" s="31">
        <v>46148</v>
      </c>
      <c r="C14" s="32" t="s">
        <v>33</v>
      </c>
      <c r="D14" s="33">
        <v>551120</v>
      </c>
      <c r="E14" s="34">
        <v>165.1</v>
      </c>
      <c r="F14" s="34">
        <v>140.30000000000001</v>
      </c>
      <c r="G14" s="35">
        <v>792</v>
      </c>
      <c r="H14" s="36"/>
      <c r="I14" s="32"/>
      <c r="J14" s="32"/>
      <c r="K14" s="32"/>
      <c r="L14" s="37"/>
      <c r="M14" s="38">
        <v>7</v>
      </c>
      <c r="N14" s="32">
        <v>3</v>
      </c>
      <c r="O14" s="39">
        <v>10</v>
      </c>
      <c r="P14" s="38">
        <v>97.4</v>
      </c>
      <c r="Q14" s="32">
        <v>1.8</v>
      </c>
      <c r="R14" s="32">
        <v>0.8</v>
      </c>
      <c r="S14" s="32">
        <v>830</v>
      </c>
    </row>
    <row r="15" spans="2:19" ht="18" customHeight="1" x14ac:dyDescent="0.3">
      <c r="B15" s="31">
        <v>46147</v>
      </c>
      <c r="C15" s="32" t="s">
        <v>34</v>
      </c>
      <c r="D15" s="33">
        <v>551120</v>
      </c>
      <c r="E15" s="34">
        <v>161.69999999999999</v>
      </c>
      <c r="F15" s="34">
        <v>137.4</v>
      </c>
      <c r="G15" s="35">
        <v>929.4</v>
      </c>
      <c r="H15" s="36"/>
      <c r="I15" s="32"/>
      <c r="J15" s="32"/>
      <c r="K15" s="32"/>
      <c r="L15" s="37"/>
      <c r="M15" s="38">
        <v>10</v>
      </c>
      <c r="N15" s="32">
        <v>2</v>
      </c>
      <c r="O15" s="39">
        <v>12</v>
      </c>
      <c r="P15" s="38">
        <v>95.4</v>
      </c>
      <c r="Q15" s="32">
        <v>2.6</v>
      </c>
      <c r="R15" s="32">
        <v>0.5</v>
      </c>
      <c r="S15" s="32">
        <v>830</v>
      </c>
    </row>
    <row r="16" spans="2:19" ht="18" customHeight="1" x14ac:dyDescent="0.3">
      <c r="B16" s="31">
        <v>46147</v>
      </c>
      <c r="C16" s="32" t="s">
        <v>35</v>
      </c>
      <c r="D16" s="33">
        <v>551120</v>
      </c>
      <c r="E16" s="34">
        <v>159.19999999999999</v>
      </c>
      <c r="F16" s="34">
        <v>135.30000000000001</v>
      </c>
      <c r="G16" s="35">
        <v>1064.7</v>
      </c>
      <c r="H16" s="36"/>
      <c r="I16" s="32"/>
      <c r="J16" s="32"/>
      <c r="K16" s="32"/>
      <c r="L16" s="37"/>
      <c r="M16" s="38">
        <v>4</v>
      </c>
      <c r="N16" s="32">
        <v>4</v>
      </c>
      <c r="O16" s="39">
        <v>8</v>
      </c>
      <c r="P16" s="38">
        <v>93.9</v>
      </c>
      <c r="Q16" s="32">
        <v>1.1000000000000001</v>
      </c>
      <c r="R16" s="32">
        <v>1.1000000000000001</v>
      </c>
      <c r="S16" s="32">
        <v>830</v>
      </c>
    </row>
    <row r="17" spans="2:19" ht="18" customHeight="1" x14ac:dyDescent="0.3">
      <c r="B17" s="31">
        <v>46147</v>
      </c>
      <c r="C17" s="32" t="s">
        <v>33</v>
      </c>
      <c r="D17" s="33">
        <v>551120</v>
      </c>
      <c r="E17" s="34">
        <v>165.5</v>
      </c>
      <c r="F17" s="34">
        <v>140.69999999999999</v>
      </c>
      <c r="G17" s="35">
        <v>1205.4000000000001</v>
      </c>
      <c r="H17" s="36"/>
      <c r="I17" s="32"/>
      <c r="J17" s="32"/>
      <c r="K17" s="32"/>
      <c r="L17" s="37"/>
      <c r="M17" s="38">
        <v>1</v>
      </c>
      <c r="N17" s="32">
        <v>2</v>
      </c>
      <c r="O17" s="39">
        <v>3</v>
      </c>
      <c r="P17" s="38">
        <v>97.6</v>
      </c>
      <c r="Q17" s="32">
        <v>0.3</v>
      </c>
      <c r="R17" s="32">
        <v>0.5</v>
      </c>
      <c r="S17" s="32">
        <v>830</v>
      </c>
    </row>
    <row r="18" spans="2:19" ht="18" customHeight="1" x14ac:dyDescent="0.3">
      <c r="B18" s="31">
        <v>46146</v>
      </c>
      <c r="C18" s="32" t="s">
        <v>34</v>
      </c>
      <c r="D18" s="33">
        <v>551120</v>
      </c>
      <c r="E18" s="34">
        <v>157</v>
      </c>
      <c r="F18" s="34">
        <v>133.5</v>
      </c>
      <c r="G18" s="35">
        <v>1338.9</v>
      </c>
      <c r="H18" s="36"/>
      <c r="I18" s="32"/>
      <c r="J18" s="32"/>
      <c r="K18" s="32"/>
      <c r="L18" s="37"/>
      <c r="M18" s="38">
        <v>5</v>
      </c>
      <c r="N18" s="32">
        <v>3</v>
      </c>
      <c r="O18" s="39">
        <v>8</v>
      </c>
      <c r="P18" s="38">
        <v>92.6</v>
      </c>
      <c r="Q18" s="32">
        <v>1.4</v>
      </c>
      <c r="R18" s="32">
        <v>0.8</v>
      </c>
      <c r="S18" s="32">
        <v>830</v>
      </c>
    </row>
    <row r="19" spans="2:19" ht="18" customHeight="1" x14ac:dyDescent="0.3">
      <c r="B19" s="31">
        <v>46146</v>
      </c>
      <c r="C19" s="32" t="s">
        <v>35</v>
      </c>
      <c r="D19" s="33">
        <v>551120</v>
      </c>
      <c r="E19" s="34">
        <v>155.30000000000001</v>
      </c>
      <c r="F19" s="34">
        <v>132</v>
      </c>
      <c r="G19" s="35">
        <v>1470.9</v>
      </c>
      <c r="H19" s="36">
        <v>314</v>
      </c>
      <c r="I19" s="34">
        <v>1346</v>
      </c>
      <c r="J19" s="34">
        <v>1471</v>
      </c>
      <c r="K19" s="34">
        <f>+J19-I19</f>
        <v>125</v>
      </c>
      <c r="L19" s="37"/>
      <c r="M19" s="38">
        <v>4</v>
      </c>
      <c r="N19" s="32">
        <v>6</v>
      </c>
      <c r="O19" s="39">
        <v>10</v>
      </c>
      <c r="P19" s="38">
        <v>91.6</v>
      </c>
      <c r="Q19" s="32">
        <v>1.1000000000000001</v>
      </c>
      <c r="R19" s="32">
        <v>1.6</v>
      </c>
      <c r="S19" s="32">
        <v>830</v>
      </c>
    </row>
    <row r="20" spans="2:19" ht="18" customHeight="1" x14ac:dyDescent="0.3">
      <c r="B20" s="31">
        <v>46146</v>
      </c>
      <c r="C20" s="32" t="s">
        <v>33</v>
      </c>
      <c r="D20" s="33">
        <v>551120</v>
      </c>
      <c r="E20" s="34">
        <v>162.6</v>
      </c>
      <c r="F20" s="34">
        <v>138.19999999999999</v>
      </c>
      <c r="G20" s="35">
        <v>1609.1000000000001</v>
      </c>
      <c r="H20" s="36">
        <v>314</v>
      </c>
      <c r="I20" s="34">
        <v>1471</v>
      </c>
      <c r="J20" s="34">
        <v>1609</v>
      </c>
      <c r="K20" s="34">
        <f>+J20-I20</f>
        <v>138</v>
      </c>
      <c r="L20" s="37"/>
      <c r="M20" s="38">
        <v>1</v>
      </c>
      <c r="N20" s="32">
        <v>4</v>
      </c>
      <c r="O20" s="39">
        <v>5</v>
      </c>
      <c r="P20" s="38">
        <v>95.9</v>
      </c>
      <c r="Q20" s="32">
        <v>0.3</v>
      </c>
      <c r="R20" s="32">
        <v>1.1000000000000001</v>
      </c>
      <c r="S20" s="32">
        <v>830</v>
      </c>
    </row>
    <row r="21" spans="2:19" ht="18" customHeight="1" x14ac:dyDescent="0.3">
      <c r="B21" s="31">
        <v>46145</v>
      </c>
      <c r="C21" s="32" t="s">
        <v>34</v>
      </c>
      <c r="D21" s="33">
        <v>551120</v>
      </c>
      <c r="E21" s="34">
        <v>154</v>
      </c>
      <c r="F21" s="34">
        <v>130.9</v>
      </c>
      <c r="G21" s="35">
        <v>1740.0000000000002</v>
      </c>
      <c r="H21" s="36">
        <v>314</v>
      </c>
      <c r="I21" s="34">
        <v>1609</v>
      </c>
      <c r="J21" s="34">
        <v>1654</v>
      </c>
      <c r="K21" s="34">
        <f>+J21-I21</f>
        <v>45</v>
      </c>
      <c r="L21" s="37"/>
      <c r="M21" s="38">
        <v>3</v>
      </c>
      <c r="N21" s="32">
        <v>0</v>
      </c>
      <c r="O21" s="39">
        <v>3</v>
      </c>
      <c r="P21" s="38">
        <v>90.9</v>
      </c>
      <c r="Q21" s="32">
        <v>0.8</v>
      </c>
      <c r="R21" s="32">
        <v>0</v>
      </c>
      <c r="S21" s="32">
        <v>830</v>
      </c>
    </row>
    <row r="22" spans="2:19" ht="18" customHeight="1" x14ac:dyDescent="0.3">
      <c r="B22" s="31">
        <v>46145</v>
      </c>
      <c r="C22" s="32" t="s">
        <v>35</v>
      </c>
      <c r="D22" s="33">
        <v>551120</v>
      </c>
      <c r="E22" s="34">
        <v>151.5</v>
      </c>
      <c r="F22" s="34">
        <v>128.80000000000001</v>
      </c>
      <c r="G22" s="35">
        <v>1868.8000000000002</v>
      </c>
      <c r="H22" s="36"/>
      <c r="I22" s="32"/>
      <c r="J22" s="32"/>
      <c r="K22" s="32"/>
      <c r="L22" s="37"/>
      <c r="M22" s="38">
        <v>7</v>
      </c>
      <c r="N22" s="32">
        <v>9</v>
      </c>
      <c r="O22" s="39">
        <v>16</v>
      </c>
      <c r="P22" s="38">
        <v>89.4</v>
      </c>
      <c r="Q22" s="32">
        <v>2</v>
      </c>
      <c r="R22" s="32">
        <v>2.5</v>
      </c>
      <c r="S22" s="32">
        <v>830</v>
      </c>
    </row>
    <row r="23" spans="2:19" ht="18" customHeight="1" x14ac:dyDescent="0.3">
      <c r="B23" s="31">
        <v>46145</v>
      </c>
      <c r="C23" s="32" t="s">
        <v>33</v>
      </c>
      <c r="D23" s="33">
        <v>551120</v>
      </c>
      <c r="E23" s="34">
        <v>150.6</v>
      </c>
      <c r="F23" s="34">
        <v>128</v>
      </c>
      <c r="G23" s="35">
        <v>1996.8000000000002</v>
      </c>
      <c r="H23" s="36"/>
      <c r="I23" s="32"/>
      <c r="J23" s="32"/>
      <c r="K23" s="32"/>
      <c r="L23" s="37"/>
      <c r="M23" s="38">
        <v>11</v>
      </c>
      <c r="N23" s="32">
        <v>6</v>
      </c>
      <c r="O23" s="39">
        <v>17</v>
      </c>
      <c r="P23" s="38">
        <v>88.9</v>
      </c>
      <c r="Q23" s="32">
        <v>3.1</v>
      </c>
      <c r="R23" s="32">
        <v>1.7</v>
      </c>
      <c r="S23" s="32">
        <v>830</v>
      </c>
    </row>
    <row r="24" spans="2:19" ht="18" customHeight="1" thickBot="1" x14ac:dyDescent="0.35">
      <c r="B24" s="40">
        <v>46144</v>
      </c>
      <c r="C24" s="41" t="s">
        <v>34</v>
      </c>
      <c r="D24" s="42">
        <v>551120</v>
      </c>
      <c r="E24" s="43">
        <v>55.3</v>
      </c>
      <c r="F24" s="43">
        <v>47</v>
      </c>
      <c r="G24" s="44">
        <v>2043.8000000000002</v>
      </c>
      <c r="H24" s="45"/>
      <c r="I24" s="41"/>
      <c r="J24" s="41"/>
      <c r="K24" s="41"/>
      <c r="L24" s="46"/>
      <c r="M24" s="47">
        <v>0.5</v>
      </c>
      <c r="N24" s="41">
        <v>17</v>
      </c>
      <c r="O24" s="48">
        <v>17.5</v>
      </c>
      <c r="P24" s="47">
        <v>61.4</v>
      </c>
      <c r="Q24" s="41">
        <v>0.4</v>
      </c>
      <c r="R24" s="41">
        <v>13.1</v>
      </c>
      <c r="S24" s="41">
        <v>830</v>
      </c>
    </row>
    <row r="25" spans="2:19" ht="25.2" customHeight="1" x14ac:dyDescent="0.3">
      <c r="B25" s="49" t="s">
        <v>36</v>
      </c>
      <c r="C25" s="49" t="s">
        <v>37</v>
      </c>
      <c r="D25" s="49" t="s">
        <v>37</v>
      </c>
      <c r="E25" s="50">
        <v>2405</v>
      </c>
      <c r="F25" s="50">
        <v>2044</v>
      </c>
      <c r="G25" s="51" t="s">
        <v>37</v>
      </c>
      <c r="H25" s="52"/>
      <c r="I25" s="49"/>
      <c r="J25" s="49"/>
      <c r="K25" s="49">
        <f>SUM(K8:K24)</f>
        <v>308</v>
      </c>
      <c r="L25" s="53"/>
      <c r="M25" s="54">
        <v>131.69999999999999</v>
      </c>
      <c r="N25" s="49">
        <v>70.7</v>
      </c>
      <c r="O25" s="55">
        <v>202.39999999999998</v>
      </c>
      <c r="P25" s="54">
        <v>89.5</v>
      </c>
      <c r="Q25" s="49">
        <v>2.2999999999999998</v>
      </c>
      <c r="R25" s="49">
        <v>1.3</v>
      </c>
      <c r="S25" s="49">
        <v>830</v>
      </c>
    </row>
    <row r="26" spans="2:19" x14ac:dyDescent="0.3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spans="2:19" s="59" customFormat="1" ht="30.6" customHeight="1" x14ac:dyDescent="0.3">
      <c r="B27" s="57" t="s">
        <v>38</v>
      </c>
      <c r="C27" s="58" t="s">
        <v>39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</row>
  </sheetData>
  <mergeCells count="3">
    <mergeCell ref="B2:S2"/>
    <mergeCell ref="C3:D3"/>
    <mergeCell ref="C27:S27"/>
  </mergeCells>
  <pageMargins left="0.19685039370078741" right="0.19685039370078741" top="0.19685039370078741" bottom="0.39370078740157483" header="0.19685039370078741" footer="0.19685039370078741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Tejeduría</vt:lpstr>
      <vt:lpstr>Tejeduría!Área_de_impresión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2026-05-12T18:08:45Z</dcterms:created>
  <dcterms:modified xsi:type="dcterms:W3CDTF">2026-05-12T18:09:29Z</dcterms:modified>
</cp:coreProperties>
</file>