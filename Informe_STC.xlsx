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tc-produccion-v2\"/>
    </mc:Choice>
  </mc:AlternateContent>
  <xr:revisionPtr revIDLastSave="0" documentId="8_{C1782763-4051-4DF4-8925-FFA4BC7F541C}" xr6:coauthVersionLast="47" xr6:coauthVersionMax="47" xr10:uidLastSave="{00000000-0000-0000-0000-000000000000}"/>
  <bookViews>
    <workbookView xWindow="-120" yWindow="-120" windowWidth="20730" windowHeight="11040" xr2:uid="{7B97CA6D-880E-40B7-A3F1-0736EF0313D7}"/>
  </bookViews>
  <sheets>
    <sheet name="Produccion STC" sheetId="1" r:id="rId1"/>
  </sheets>
  <externalReferences>
    <externalReference r:id="rId2"/>
  </externalReferences>
  <definedNames>
    <definedName name="_xlnm._FilterDatabase" localSheetId="0" hidden="1">'Produccion STC'!$B$1:$AA$35</definedName>
    <definedName name="_xlnm.Print_Area" localSheetId="0">'Produccion STC'!$A$1:$AB$35</definedName>
    <definedName name="Art">#REF!</definedName>
    <definedName name="Articulo_Nombre_1">"$#REF!.$B$4:$C$18"</definedName>
    <definedName name="Articulo_Nombre_15">#REF!</definedName>
    <definedName name="Articulo_Nombre_6">"$#REF!.$B$9:$D$50"</definedName>
    <definedName name="Articulo_Nombre_8">"$#REF!.$B$11:$C$22"</definedName>
    <definedName name="Articulos">#REF!</definedName>
    <definedName name="Articulos_1">"$#REF!.$B$4:$B$19"</definedName>
    <definedName name="Articulos_15">#REF!</definedName>
    <definedName name="Articulos_6">"$#REF!.$K$9:$K$57"</definedName>
    <definedName name="Eficiencias">[1]Menu!$J$75:$J$78</definedName>
    <definedName name="Elegir">[1]Menu!$J$57:$J$58</definedName>
    <definedName name="Excel_BuiltIn_Print_Area_2">"$#REF!.$B$2:$H$56"</definedName>
    <definedName name="logo">#REF!</definedName>
    <definedName name="Ordenar">[1]Menu!$K$75:$K$78</definedName>
    <definedName name="Tipos_Tramas">"$#REF!.$B$3:$B$11"</definedName>
    <definedName name="Tramas">"$#REF!.$D$3:$D$12"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1" i="1" l="1"/>
  <c r="AA38" i="1"/>
  <c r="Y38" i="1"/>
  <c r="U35" i="1"/>
  <c r="T35" i="1"/>
  <c r="S35" i="1"/>
  <c r="U44" i="1" s="1"/>
  <c r="R35" i="1"/>
  <c r="P35" i="1"/>
  <c r="N35" i="1"/>
  <c r="M35" i="1"/>
  <c r="L35" i="1"/>
  <c r="K35" i="1"/>
  <c r="J35" i="1"/>
  <c r="I35" i="1"/>
  <c r="F35" i="1"/>
  <c r="E35" i="1"/>
  <c r="D35" i="1"/>
  <c r="H35" i="1" s="1"/>
  <c r="C35" i="1"/>
  <c r="AE34" i="1"/>
  <c r="AE33" i="1"/>
  <c r="AE32" i="1"/>
  <c r="AE31" i="1"/>
  <c r="AE30" i="1"/>
  <c r="AE29" i="1"/>
  <c r="AE28" i="1"/>
  <c r="X28" i="1"/>
  <c r="W28" i="1"/>
  <c r="V28" i="1"/>
  <c r="AE27" i="1"/>
  <c r="AE26" i="1"/>
  <c r="Q26" i="1"/>
  <c r="AE25" i="1"/>
  <c r="AE24" i="1"/>
  <c r="AE23" i="1"/>
  <c r="Q23" i="1"/>
  <c r="AE22" i="1"/>
  <c r="AE21" i="1"/>
  <c r="X21" i="1"/>
  <c r="AA41" i="1" s="1"/>
  <c r="W21" i="1"/>
  <c r="V21" i="1"/>
  <c r="AE20" i="1"/>
  <c r="AE19" i="1"/>
  <c r="AE18" i="1"/>
  <c r="Q18" i="1"/>
  <c r="AE17" i="1"/>
  <c r="AE16" i="1"/>
  <c r="Q16" i="1"/>
  <c r="G16" i="1"/>
  <c r="AE15" i="1"/>
  <c r="AE14" i="1"/>
  <c r="AE13" i="1"/>
  <c r="AE12" i="1"/>
  <c r="AE11" i="1"/>
  <c r="AE10" i="1"/>
  <c r="AE9" i="1"/>
  <c r="AE8" i="1"/>
  <c r="AE7" i="1"/>
  <c r="AE6" i="1"/>
  <c r="AE5" i="1"/>
  <c r="AE4" i="1"/>
  <c r="AL2" i="1"/>
  <c r="AJ2" i="1"/>
  <c r="AH2" i="1"/>
  <c r="AF2" i="1"/>
  <c r="Z2" i="1"/>
  <c r="U2" i="1"/>
  <c r="O2" i="1"/>
  <c r="N2" i="1"/>
  <c r="Q28" i="1" s="1"/>
  <c r="E2" i="1"/>
  <c r="G26" i="1" s="1"/>
  <c r="B1" i="1"/>
  <c r="G19" i="1" l="1"/>
  <c r="G24" i="1"/>
  <c r="G17" i="1"/>
  <c r="G22" i="1"/>
  <c r="Q27" i="1"/>
  <c r="Q17" i="1"/>
  <c r="Q22" i="1"/>
  <c r="G15" i="1"/>
  <c r="Q20" i="1"/>
  <c r="Q25" i="1"/>
  <c r="G28" i="1"/>
  <c r="Q19" i="1"/>
  <c r="Q24" i="1"/>
  <c r="G27" i="1"/>
  <c r="G29" i="1"/>
  <c r="G20" i="1"/>
  <c r="G25" i="1"/>
  <c r="Q29" i="1"/>
  <c r="Q15" i="1"/>
  <c r="G18" i="1"/>
  <c r="G23" i="1"/>
</calcChain>
</file>

<file path=xl/sharedStrings.xml><?xml version="1.0" encoding="utf-8"?>
<sst xmlns="http://schemas.openxmlformats.org/spreadsheetml/2006/main" count="132" uniqueCount="64">
  <si>
    <t>Configuración</t>
  </si>
  <si>
    <t>Metas Indigo</t>
  </si>
  <si>
    <t>Eficiencia</t>
  </si>
  <si>
    <t>Meta Tejeduría</t>
  </si>
  <si>
    <t xml:space="preserve">Eficiencia Meta: </t>
  </si>
  <si>
    <t>Meta Acabado</t>
  </si>
  <si>
    <t>Meta Revisión</t>
  </si>
  <si>
    <t>Dia</t>
  </si>
  <si>
    <t>Eficiencia diaria</t>
  </si>
  <si>
    <t>Produc.</t>
  </si>
  <si>
    <t>Meta Diaria</t>
  </si>
  <si>
    <t>Saldo</t>
  </si>
  <si>
    <t>Meta Ajustada</t>
  </si>
  <si>
    <t>Veloc Média</t>
  </si>
  <si>
    <t>Telares produc.</t>
  </si>
  <si>
    <t>Batidas</t>
  </si>
  <si>
    <t>RPM</t>
  </si>
  <si>
    <t>Dias</t>
  </si>
  <si>
    <t xml:space="preserve">Saldo </t>
  </si>
  <si>
    <t>Produc. Encerrada</t>
  </si>
  <si>
    <t>1ª Qual.</t>
  </si>
  <si>
    <t>Pontos
/100m²</t>
  </si>
  <si>
    <t>Produçao</t>
  </si>
  <si>
    <t>Meta Diária</t>
  </si>
  <si>
    <t>Indigo</t>
  </si>
  <si>
    <t>Tejeduria</t>
  </si>
  <si>
    <t>Acabamento</t>
  </si>
  <si>
    <t>Revisión</t>
  </si>
  <si>
    <t>*</t>
  </si>
  <si>
    <t>X</t>
  </si>
  <si>
    <t>Media</t>
  </si>
  <si>
    <t>P</t>
  </si>
  <si>
    <t xml:space="preserve"> </t>
  </si>
  <si>
    <t>día1</t>
  </si>
  <si>
    <t>día2</t>
  </si>
  <si>
    <t>día3</t>
  </si>
  <si>
    <t>día4</t>
  </si>
  <si>
    <t>día5</t>
  </si>
  <si>
    <t>día6</t>
  </si>
  <si>
    <t>día7</t>
  </si>
  <si>
    <t>día8</t>
  </si>
  <si>
    <t>día9</t>
  </si>
  <si>
    <t>día10</t>
  </si>
  <si>
    <t>día11</t>
  </si>
  <si>
    <t>día12</t>
  </si>
  <si>
    <t>día13</t>
  </si>
  <si>
    <t>día14</t>
  </si>
  <si>
    <t>día15</t>
  </si>
  <si>
    <t>día16</t>
  </si>
  <si>
    <t>día17</t>
  </si>
  <si>
    <t>día18</t>
  </si>
  <si>
    <t>día19</t>
  </si>
  <si>
    <t>día20</t>
  </si>
  <si>
    <t>día21</t>
  </si>
  <si>
    <t>día22</t>
  </si>
  <si>
    <t>día23</t>
  </si>
  <si>
    <t>día24</t>
  </si>
  <si>
    <t>día25</t>
  </si>
  <si>
    <t>día26</t>
  </si>
  <si>
    <t>día27</t>
  </si>
  <si>
    <t>día28</t>
  </si>
  <si>
    <t>día29</t>
  </si>
  <si>
    <t>día30</t>
  </si>
  <si>
    <t>día31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</si>
</sst>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\-??_-;_-@_-"/>
    <numFmt numFmtId="165" formatCode="#,##0&quot;m&quot;"/>
    <numFmt numFmtId="166" formatCode="0%\ &quot;Eficiência&quot;"/>
    <numFmt numFmtId="167" formatCode="_-* #,##0_-;\-* #,##0_-;_-* \-??_-;_-@_-"/>
    <numFmt numFmtId="168" formatCode="#,##0_ ;\-#,##0\ "/>
    <numFmt numFmtId="169" formatCode=";;;"/>
    <numFmt numFmtId="170" formatCode="dd\-\ ddd"/>
    <numFmt numFmtId="171" formatCode="0.0"/>
    <numFmt numFmtId="172" formatCode="#,##0_ ;[Red]\-#,##0\ "/>
    <numFmt numFmtId="173" formatCode="ddd\ dd\-mmm\-yy"/>
    <numFmt numFmtId="174" formatCode="0.0%"/>
    <numFmt numFmtId="175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name val="Calibri"/>
      <family val="2"/>
      <charset val="1"/>
    </font>
    <font>
      <sz val="12"/>
      <name val="Arial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charset val="1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charset val="1"/>
    </font>
    <font>
      <sz val="11"/>
      <name val="Calibri"/>
      <family val="2"/>
    </font>
    <font>
      <sz val="10"/>
      <name val="Tahoma"/>
      <family val="2"/>
      <charset val="1"/>
    </font>
    <font>
      <i/>
      <sz val="11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darkGray">
        <fgColor rgb="FF001C62"/>
        <bgColor rgb="FF003366"/>
      </patternFill>
    </fill>
    <fill>
      <patternFill patternType="solid">
        <fgColor rgb="FF91DFFB"/>
        <bgColor rgb="FFFFFFCC"/>
      </patternFill>
    </fill>
    <fill>
      <patternFill patternType="solid">
        <fgColor rgb="FF91DFFB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A9D08E"/>
        <bgColor rgb="FFFFFFCC"/>
      </patternFill>
    </fill>
    <fill>
      <patternFill patternType="solid">
        <fgColor theme="9" tint="0.39997558519241921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91DFFB"/>
        <bgColor rgb="FF99CC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4" fillId="0" borderId="0" applyBorder="0" applyProtection="0"/>
    <xf numFmtId="10" fontId="8" fillId="0" borderId="0" applyBorder="0" applyProtection="0"/>
    <xf numFmtId="0" fontId="15" fillId="0" borderId="0"/>
  </cellStyleXfs>
  <cellXfs count="166">
    <xf numFmtId="0" fontId="0" fillId="0" borderId="0" xfId="0"/>
    <xf numFmtId="14" fontId="3" fillId="2" borderId="1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0" fontId="0" fillId="0" borderId="0" xfId="0" quotePrefix="1"/>
    <xf numFmtId="164" fontId="5" fillId="0" borderId="4" xfId="2" applyFont="1" applyBorder="1" applyAlignment="1" applyProtection="1">
      <alignment horizontal="center" vertical="center"/>
    </xf>
    <xf numFmtId="164" fontId="5" fillId="0" borderId="5" xfId="2" applyFont="1" applyBorder="1" applyAlignment="1" applyProtection="1">
      <alignment horizontal="center" vertical="center"/>
    </xf>
    <xf numFmtId="164" fontId="5" fillId="0" borderId="6" xfId="2" applyFont="1" applyBorder="1" applyAlignment="1" applyProtection="1">
      <alignment horizontal="center" vertical="center"/>
    </xf>
    <xf numFmtId="14" fontId="6" fillId="0" borderId="7" xfId="0" applyNumberFormat="1" applyFont="1" applyBorder="1"/>
    <xf numFmtId="0" fontId="7" fillId="3" borderId="4" xfId="0" applyFont="1" applyFill="1" applyBorder="1" applyAlignment="1">
      <alignment horizontal="left" vertical="center" indent="5"/>
    </xf>
    <xf numFmtId="0" fontId="7" fillId="3" borderId="5" xfId="0" applyFont="1" applyFill="1" applyBorder="1" applyAlignment="1">
      <alignment horizontal="left" vertical="center" indent="2"/>
    </xf>
    <xf numFmtId="165" fontId="7" fillId="3" borderId="5" xfId="2" applyNumberFormat="1" applyFont="1" applyFill="1" applyBorder="1" applyAlignment="1" applyProtection="1">
      <alignment vertical="center"/>
    </xf>
    <xf numFmtId="0" fontId="9" fillId="4" borderId="5" xfId="3" applyNumberFormat="1" applyFont="1" applyFill="1" applyBorder="1" applyAlignment="1" applyProtection="1">
      <alignment horizontal="center" vertical="center"/>
    </xf>
    <xf numFmtId="166" fontId="7" fillId="3" borderId="5" xfId="2" applyNumberFormat="1" applyFont="1" applyFill="1" applyBorder="1" applyAlignment="1" applyProtection="1">
      <alignment horizontal="left" vertical="center"/>
    </xf>
    <xf numFmtId="166" fontId="7" fillId="3" borderId="6" xfId="2" applyNumberFormat="1" applyFont="1" applyFill="1" applyBorder="1" applyAlignment="1" applyProtection="1">
      <alignment horizontal="left" vertical="center"/>
    </xf>
    <xf numFmtId="167" fontId="7" fillId="5" borderId="8" xfId="2" applyNumberFormat="1" applyFont="1" applyFill="1" applyBorder="1" applyAlignment="1" applyProtection="1">
      <alignment horizontal="left" vertical="center"/>
    </xf>
    <xf numFmtId="0" fontId="7" fillId="5" borderId="0" xfId="0" applyFont="1" applyFill="1" applyAlignment="1">
      <alignment horizontal="right" vertical="center"/>
    </xf>
    <xf numFmtId="165" fontId="7" fillId="5" borderId="8" xfId="2" applyNumberFormat="1" applyFont="1" applyFill="1" applyBorder="1" applyAlignment="1" applyProtection="1">
      <alignment vertical="center"/>
    </xf>
    <xf numFmtId="168" fontId="7" fillId="5" borderId="8" xfId="2" applyNumberFormat="1" applyFont="1" applyFill="1" applyBorder="1" applyAlignment="1" applyProtection="1">
      <alignment horizontal="center" vertical="center"/>
    </xf>
    <xf numFmtId="168" fontId="7" fillId="5" borderId="8" xfId="2" applyNumberFormat="1" applyFont="1" applyFill="1" applyBorder="1" applyAlignment="1" applyProtection="1">
      <alignment vertical="center"/>
    </xf>
    <xf numFmtId="0" fontId="7" fillId="5" borderId="8" xfId="0" applyFont="1" applyFill="1" applyBorder="1" applyAlignment="1">
      <alignment horizontal="right" vertical="center"/>
    </xf>
    <xf numFmtId="0" fontId="7" fillId="5" borderId="8" xfId="2" applyNumberFormat="1" applyFont="1" applyFill="1" applyBorder="1" applyAlignment="1" applyProtection="1">
      <alignment horizontal="left" vertical="center"/>
    </xf>
    <xf numFmtId="0" fontId="7" fillId="6" borderId="4" xfId="0" applyFont="1" applyFill="1" applyBorder="1" applyAlignment="1">
      <alignment vertical="center"/>
    </xf>
    <xf numFmtId="0" fontId="7" fillId="7" borderId="5" xfId="0" applyFont="1" applyFill="1" applyBorder="1" applyAlignment="1">
      <alignment horizontal="right" vertical="center"/>
    </xf>
    <xf numFmtId="165" fontId="7" fillId="7" borderId="6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vertical="center"/>
    </xf>
    <xf numFmtId="0" fontId="7" fillId="8" borderId="5" xfId="0" applyFont="1" applyFill="1" applyBorder="1" applyAlignment="1">
      <alignment horizontal="right" vertical="center"/>
    </xf>
    <xf numFmtId="165" fontId="7" fillId="8" borderId="5" xfId="2" applyNumberFormat="1" applyFont="1" applyFill="1" applyBorder="1" applyAlignment="1" applyProtection="1">
      <alignment horizontal="left" vertical="center"/>
    </xf>
    <xf numFmtId="165" fontId="7" fillId="8" borderId="9" xfId="2" applyNumberFormat="1" applyFont="1" applyFill="1" applyBorder="1" applyAlignment="1" applyProtection="1">
      <alignment horizontal="left" vertical="center"/>
    </xf>
    <xf numFmtId="169" fontId="0" fillId="0" borderId="0" xfId="0" applyNumberFormat="1"/>
    <xf numFmtId="167" fontId="0" fillId="0" borderId="0" xfId="2" quotePrefix="1" applyNumberFormat="1" applyFont="1" applyBorder="1" applyProtection="1"/>
    <xf numFmtId="3" fontId="0" fillId="0" borderId="0" xfId="0" quotePrefix="1" applyNumberFormat="1"/>
    <xf numFmtId="0" fontId="2" fillId="0" borderId="0" xfId="0" applyFont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9" fontId="11" fillId="9" borderId="10" xfId="3" applyNumberFormat="1" applyFont="1" applyFill="1" applyBorder="1" applyAlignment="1" applyProtection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9" fontId="11" fillId="9" borderId="11" xfId="3" applyNumberFormat="1" applyFont="1" applyFill="1" applyBorder="1" applyAlignment="1" applyProtection="1">
      <alignment horizontal="center" vertical="center" wrapText="1"/>
    </xf>
    <xf numFmtId="9" fontId="11" fillId="9" borderId="7" xfId="3" applyNumberFormat="1" applyFont="1" applyFill="1" applyBorder="1" applyAlignment="1" applyProtection="1">
      <alignment horizontal="center" vertical="center" wrapText="1"/>
    </xf>
    <xf numFmtId="9" fontId="11" fillId="9" borderId="12" xfId="3" applyNumberFormat="1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0" xfId="0" applyFont="1"/>
    <xf numFmtId="2" fontId="0" fillId="0" borderId="0" xfId="0" applyNumberFormat="1"/>
    <xf numFmtId="0" fontId="12" fillId="0" borderId="10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0" fontId="13" fillId="0" borderId="13" xfId="0" applyNumberFormat="1" applyFont="1" applyBorder="1" applyAlignment="1">
      <alignment horizontal="left" vertical="center"/>
    </xf>
    <xf numFmtId="171" fontId="14" fillId="13" borderId="14" xfId="3" applyNumberFormat="1" applyFont="1" applyFill="1" applyBorder="1" applyAlignment="1" applyProtection="1">
      <alignment horizontal="center" vertical="center"/>
    </xf>
    <xf numFmtId="3" fontId="14" fillId="13" borderId="15" xfId="4" applyNumberFormat="1" applyFont="1" applyFill="1" applyBorder="1" applyAlignment="1">
      <alignment horizontal="center" vertical="center"/>
    </xf>
    <xf numFmtId="3" fontId="14" fillId="13" borderId="15" xfId="3" applyNumberFormat="1" applyFont="1" applyFill="1" applyBorder="1" applyAlignment="1" applyProtection="1">
      <alignment horizontal="center" vertical="center"/>
    </xf>
    <xf numFmtId="168" fontId="14" fillId="13" borderId="15" xfId="3" applyNumberFormat="1" applyFont="1" applyFill="1" applyBorder="1" applyAlignment="1" applyProtection="1">
      <alignment horizontal="center" vertical="center"/>
    </xf>
    <xf numFmtId="3" fontId="14" fillId="13" borderId="13" xfId="3" applyNumberFormat="1" applyFont="1" applyFill="1" applyBorder="1" applyAlignment="1" applyProtection="1">
      <alignment horizontal="center" vertical="center"/>
    </xf>
    <xf numFmtId="171" fontId="14" fillId="13" borderId="16" xfId="3" applyNumberFormat="1" applyFont="1" applyFill="1" applyBorder="1" applyAlignment="1" applyProtection="1">
      <alignment horizontal="center" vertical="center"/>
    </xf>
    <xf numFmtId="1" fontId="11" fillId="14" borderId="17" xfId="3" applyNumberFormat="1" applyFont="1" applyFill="1" applyBorder="1" applyAlignment="1" applyProtection="1">
      <alignment horizontal="center" vertical="center"/>
    </xf>
    <xf numFmtId="2" fontId="16" fillId="14" borderId="18" xfId="3" applyNumberFormat="1" applyFont="1" applyFill="1" applyBorder="1" applyAlignment="1" applyProtection="1">
      <alignment horizontal="center" vertical="center"/>
    </xf>
    <xf numFmtId="3" fontId="16" fillId="14" borderId="18" xfId="3" applyNumberFormat="1" applyFont="1" applyFill="1" applyBorder="1" applyAlignment="1" applyProtection="1">
      <alignment horizontal="center" vertical="center"/>
    </xf>
    <xf numFmtId="171" fontId="16" fillId="14" borderId="19" xfId="1" applyNumberFormat="1" applyFont="1" applyFill="1" applyBorder="1" applyAlignment="1" applyProtection="1">
      <alignment horizontal="center" vertical="center"/>
    </xf>
    <xf numFmtId="3" fontId="16" fillId="14" borderId="18" xfId="1" applyNumberFormat="1" applyFont="1" applyFill="1" applyBorder="1" applyAlignment="1" applyProtection="1">
      <alignment horizontal="center" vertical="center"/>
    </xf>
    <xf numFmtId="3" fontId="12" fillId="14" borderId="20" xfId="3" applyNumberFormat="1" applyFont="1" applyFill="1" applyBorder="1" applyAlignment="1" applyProtection="1">
      <alignment horizontal="center" vertical="center"/>
    </xf>
    <xf numFmtId="3" fontId="14" fillId="14" borderId="15" xfId="4" applyNumberFormat="1" applyFont="1" applyFill="1" applyBorder="1" applyAlignment="1">
      <alignment horizontal="center" vertical="center"/>
    </xf>
    <xf numFmtId="168" fontId="14" fillId="13" borderId="18" xfId="0" applyNumberFormat="1" applyFont="1" applyFill="1" applyBorder="1" applyAlignment="1">
      <alignment horizontal="center" vertical="center"/>
    </xf>
    <xf numFmtId="3" fontId="16" fillId="14" borderId="18" xfId="0" applyNumberFormat="1" applyFont="1" applyFill="1" applyBorder="1" applyAlignment="1">
      <alignment horizontal="center" vertical="center"/>
    </xf>
    <xf numFmtId="3" fontId="14" fillId="13" borderId="21" xfId="4" applyNumberFormat="1" applyFont="1" applyFill="1" applyBorder="1" applyAlignment="1">
      <alignment horizontal="center" vertical="center"/>
    </xf>
    <xf numFmtId="3" fontId="14" fillId="13" borderId="13" xfId="4" applyNumberFormat="1" applyFont="1" applyFill="1" applyBorder="1" applyAlignment="1">
      <alignment horizontal="center" vertical="center"/>
    </xf>
    <xf numFmtId="172" fontId="14" fillId="13" borderId="16" xfId="4" applyNumberFormat="1" applyFont="1" applyFill="1" applyBorder="1" applyAlignment="1">
      <alignment horizontal="center" vertical="center"/>
    </xf>
    <xf numFmtId="2" fontId="4" fillId="13" borderId="19" xfId="0" applyNumberFormat="1" applyFont="1" applyFill="1" applyBorder="1" applyAlignment="1">
      <alignment horizontal="center" vertical="center"/>
    </xf>
    <xf numFmtId="4" fontId="4" fillId="13" borderId="19" xfId="0" applyNumberFormat="1" applyFont="1" applyFill="1" applyBorder="1" applyAlignment="1">
      <alignment horizontal="center" vertical="center"/>
    </xf>
    <xf numFmtId="3" fontId="4" fillId="13" borderId="19" xfId="0" applyNumberFormat="1" applyFont="1" applyFill="1" applyBorder="1" applyAlignment="1">
      <alignment horizontal="center" vertical="center"/>
    </xf>
    <xf numFmtId="3" fontId="10" fillId="13" borderId="15" xfId="4" applyNumberFormat="1" applyFont="1" applyFill="1" applyBorder="1" applyAlignment="1">
      <alignment horizontal="center" vertical="center"/>
    </xf>
    <xf numFmtId="172" fontId="10" fillId="13" borderId="16" xfId="4" applyNumberFormat="1" applyFont="1" applyFill="1" applyBorder="1" applyAlignment="1">
      <alignment horizontal="center" vertical="center"/>
    </xf>
    <xf numFmtId="3" fontId="10" fillId="13" borderId="22" xfId="0" applyNumberFormat="1" applyFont="1" applyFill="1" applyBorder="1" applyAlignment="1">
      <alignment horizontal="center" vertical="center"/>
    </xf>
    <xf numFmtId="4" fontId="12" fillId="0" borderId="0" xfId="0" applyNumberFormat="1" applyFont="1" applyAlignment="1">
      <alignment vertical="center"/>
    </xf>
    <xf numFmtId="173" fontId="11" fillId="0" borderId="14" xfId="0" applyNumberFormat="1" applyFont="1" applyBorder="1" applyAlignment="1">
      <alignment horizontal="left" vertical="center"/>
    </xf>
    <xf numFmtId="170" fontId="17" fillId="13" borderId="15" xfId="0" applyNumberFormat="1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7" fillId="13" borderId="18" xfId="0" applyFont="1" applyFill="1" applyBorder="1" applyAlignment="1">
      <alignment horizontal="center" vertical="center"/>
    </xf>
    <xf numFmtId="0" fontId="12" fillId="13" borderId="23" xfId="0" applyFont="1" applyFill="1" applyBorder="1" applyAlignment="1">
      <alignment horizontal="center" vertical="center"/>
    </xf>
    <xf numFmtId="170" fontId="17" fillId="13" borderId="18" xfId="0" applyNumberFormat="1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center" vertical="center"/>
    </xf>
    <xf numFmtId="171" fontId="14" fillId="4" borderId="14" xfId="3" applyNumberFormat="1" applyFont="1" applyFill="1" applyBorder="1" applyAlignment="1" applyProtection="1">
      <alignment horizontal="center" vertical="center"/>
    </xf>
    <xf numFmtId="3" fontId="14" fillId="4" borderId="15" xfId="4" applyNumberFormat="1" applyFont="1" applyFill="1" applyBorder="1" applyAlignment="1">
      <alignment horizontal="center" vertical="center"/>
    </xf>
    <xf numFmtId="3" fontId="14" fillId="4" borderId="15" xfId="3" applyNumberFormat="1" applyFont="1" applyFill="1" applyBorder="1" applyAlignment="1" applyProtection="1">
      <alignment horizontal="center" vertical="center"/>
    </xf>
    <xf numFmtId="168" fontId="14" fillId="4" borderId="15" xfId="3" applyNumberFormat="1" applyFont="1" applyFill="1" applyBorder="1" applyAlignment="1" applyProtection="1">
      <alignment horizontal="center" vertical="center"/>
    </xf>
    <xf numFmtId="3" fontId="14" fillId="4" borderId="13" xfId="3" applyNumberFormat="1" applyFont="1" applyFill="1" applyBorder="1" applyAlignment="1" applyProtection="1">
      <alignment horizontal="center" vertical="center"/>
    </xf>
    <xf numFmtId="171" fontId="14" fillId="4" borderId="16" xfId="3" applyNumberFormat="1" applyFont="1" applyFill="1" applyBorder="1" applyAlignment="1" applyProtection="1">
      <alignment horizontal="center" vertical="center"/>
    </xf>
    <xf numFmtId="1" fontId="11" fillId="5" borderId="17" xfId="3" applyNumberFormat="1" applyFont="1" applyFill="1" applyBorder="1" applyAlignment="1" applyProtection="1">
      <alignment horizontal="center" vertical="center"/>
    </xf>
    <xf numFmtId="2" fontId="16" fillId="5" borderId="18" xfId="3" applyNumberFormat="1" applyFont="1" applyFill="1" applyBorder="1" applyAlignment="1" applyProtection="1">
      <alignment horizontal="center" vertical="center"/>
    </xf>
    <xf numFmtId="3" fontId="16" fillId="5" borderId="18" xfId="3" applyNumberFormat="1" applyFont="1" applyFill="1" applyBorder="1" applyAlignment="1" applyProtection="1">
      <alignment horizontal="center" vertical="center"/>
    </xf>
    <xf numFmtId="171" fontId="16" fillId="5" borderId="19" xfId="1" applyNumberFormat="1" applyFont="1" applyFill="1" applyBorder="1" applyAlignment="1" applyProtection="1">
      <alignment horizontal="center" vertical="center"/>
    </xf>
    <xf numFmtId="3" fontId="16" fillId="5" borderId="18" xfId="1" applyNumberFormat="1" applyFont="1" applyFill="1" applyBorder="1" applyAlignment="1" applyProtection="1">
      <alignment horizontal="center" vertical="center"/>
    </xf>
    <xf numFmtId="3" fontId="12" fillId="5" borderId="20" xfId="3" applyNumberFormat="1" applyFont="1" applyFill="1" applyBorder="1" applyAlignment="1" applyProtection="1">
      <alignment horizontal="center" vertical="center"/>
    </xf>
    <xf numFmtId="3" fontId="14" fillId="5" borderId="15" xfId="4" applyNumberFormat="1" applyFont="1" applyFill="1" applyBorder="1" applyAlignment="1">
      <alignment horizontal="center" vertical="center"/>
    </xf>
    <xf numFmtId="168" fontId="14" fillId="11" borderId="18" xfId="0" applyNumberFormat="1" applyFont="1" applyFill="1" applyBorder="1" applyAlignment="1">
      <alignment horizontal="center" vertical="center"/>
    </xf>
    <xf numFmtId="3" fontId="16" fillId="5" borderId="18" xfId="0" applyNumberFormat="1" applyFont="1" applyFill="1" applyBorder="1" applyAlignment="1">
      <alignment horizontal="center" vertical="center"/>
    </xf>
    <xf numFmtId="170" fontId="17" fillId="4" borderId="15" xfId="0" applyNumberFormat="1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170" fontId="17" fillId="11" borderId="15" xfId="0" applyNumberFormat="1" applyFont="1" applyFill="1" applyBorder="1" applyAlignment="1">
      <alignment horizontal="center" vertical="center"/>
    </xf>
    <xf numFmtId="3" fontId="14" fillId="10" borderId="21" xfId="4" applyNumberFormat="1" applyFont="1" applyFill="1" applyBorder="1" applyAlignment="1">
      <alignment horizontal="center" vertical="center"/>
    </xf>
    <xf numFmtId="3" fontId="14" fillId="12" borderId="13" xfId="4" applyNumberFormat="1" applyFont="1" applyFill="1" applyBorder="1" applyAlignment="1">
      <alignment horizontal="center" vertical="center"/>
    </xf>
    <xf numFmtId="172" fontId="14" fillId="10" borderId="16" xfId="4" applyNumberFormat="1" applyFont="1" applyFill="1" applyBorder="1" applyAlignment="1">
      <alignment horizontal="center" vertical="center"/>
    </xf>
    <xf numFmtId="2" fontId="4" fillId="15" borderId="19" xfId="0" applyNumberFormat="1" applyFont="1" applyFill="1" applyBorder="1" applyAlignment="1">
      <alignment horizontal="center" vertical="center"/>
    </xf>
    <xf numFmtId="4" fontId="4" fillId="15" borderId="19" xfId="0" applyNumberFormat="1" applyFont="1" applyFill="1" applyBorder="1" applyAlignment="1">
      <alignment horizontal="center" vertical="center"/>
    </xf>
    <xf numFmtId="3" fontId="4" fillId="15" borderId="19" xfId="0" applyNumberFormat="1" applyFont="1" applyFill="1" applyBorder="1" applyAlignment="1">
      <alignment horizontal="center" vertical="center"/>
    </xf>
    <xf numFmtId="3" fontId="10" fillId="15" borderId="15" xfId="4" applyNumberFormat="1" applyFont="1" applyFill="1" applyBorder="1" applyAlignment="1">
      <alignment horizontal="center" vertical="center"/>
    </xf>
    <xf numFmtId="172" fontId="10" fillId="15" borderId="16" xfId="4" applyNumberFormat="1" applyFont="1" applyFill="1" applyBorder="1" applyAlignment="1">
      <alignment horizontal="center" vertical="center"/>
    </xf>
    <xf numFmtId="3" fontId="10" fillId="15" borderId="22" xfId="0" applyNumberFormat="1" applyFont="1" applyFill="1" applyBorder="1" applyAlignment="1">
      <alignment horizontal="center" vertical="center"/>
    </xf>
    <xf numFmtId="0" fontId="17" fillId="12" borderId="18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4" fontId="4" fillId="0" borderId="19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/>
    </xf>
    <xf numFmtId="3" fontId="10" fillId="0" borderId="15" xfId="4" applyNumberFormat="1" applyFont="1" applyBorder="1" applyAlignment="1">
      <alignment horizontal="center" vertical="center"/>
    </xf>
    <xf numFmtId="172" fontId="10" fillId="0" borderId="16" xfId="4" applyNumberFormat="1" applyFont="1" applyBorder="1" applyAlignment="1">
      <alignment horizontal="center" vertical="center"/>
    </xf>
    <xf numFmtId="3" fontId="10" fillId="0" borderId="22" xfId="0" applyNumberFormat="1" applyFont="1" applyBorder="1" applyAlignment="1">
      <alignment horizontal="center" vertical="center"/>
    </xf>
    <xf numFmtId="170" fontId="17" fillId="0" borderId="18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3" fontId="11" fillId="5" borderId="23" xfId="0" applyNumberFormat="1" applyFont="1" applyFill="1" applyBorder="1" applyAlignment="1">
      <alignment horizontal="center" vertical="center"/>
    </xf>
    <xf numFmtId="2" fontId="4" fillId="16" borderId="19" xfId="0" applyNumberFormat="1" applyFont="1" applyFill="1" applyBorder="1" applyAlignment="1">
      <alignment horizontal="center" vertical="center"/>
    </xf>
    <xf numFmtId="4" fontId="4" fillId="16" borderId="19" xfId="0" applyNumberFormat="1" applyFont="1" applyFill="1" applyBorder="1" applyAlignment="1">
      <alignment horizontal="center" vertical="center"/>
    </xf>
    <xf numFmtId="3" fontId="4" fillId="16" borderId="19" xfId="0" applyNumberFormat="1" applyFont="1" applyFill="1" applyBorder="1" applyAlignment="1">
      <alignment horizontal="center" vertical="center"/>
    </xf>
    <xf numFmtId="3" fontId="10" fillId="16" borderId="15" xfId="4" applyNumberFormat="1" applyFont="1" applyFill="1" applyBorder="1" applyAlignment="1">
      <alignment horizontal="center" vertical="center"/>
    </xf>
    <xf numFmtId="172" fontId="10" fillId="16" borderId="16" xfId="4" applyNumberFormat="1" applyFont="1" applyFill="1" applyBorder="1" applyAlignment="1">
      <alignment horizontal="center" vertical="center"/>
    </xf>
    <xf numFmtId="3" fontId="10" fillId="16" borderId="22" xfId="0" applyNumberFormat="1" applyFont="1" applyFill="1" applyBorder="1" applyAlignment="1">
      <alignment horizontal="center" vertical="center"/>
    </xf>
    <xf numFmtId="3" fontId="11" fillId="14" borderId="23" xfId="0" applyNumberFormat="1" applyFont="1" applyFill="1" applyBorder="1" applyAlignment="1">
      <alignment horizontal="center" vertical="center"/>
    </xf>
    <xf numFmtId="2" fontId="18" fillId="13" borderId="19" xfId="0" applyNumberFormat="1" applyFont="1" applyFill="1" applyBorder="1" applyAlignment="1">
      <alignment horizontal="center" vertical="center"/>
    </xf>
    <xf numFmtId="4" fontId="18" fillId="13" borderId="19" xfId="0" applyNumberFormat="1" applyFont="1" applyFill="1" applyBorder="1" applyAlignment="1">
      <alignment horizontal="center" vertical="center"/>
    </xf>
    <xf numFmtId="3" fontId="18" fillId="13" borderId="19" xfId="0" applyNumberFormat="1" applyFont="1" applyFill="1" applyBorder="1" applyAlignment="1">
      <alignment horizontal="center" vertical="center"/>
    </xf>
    <xf numFmtId="3" fontId="19" fillId="13" borderId="15" xfId="4" applyNumberFormat="1" applyFont="1" applyFill="1" applyBorder="1" applyAlignment="1">
      <alignment horizontal="center" vertical="center"/>
    </xf>
    <xf numFmtId="173" fontId="11" fillId="13" borderId="14" xfId="0" applyNumberFormat="1" applyFont="1" applyFill="1" applyBorder="1" applyAlignment="1">
      <alignment horizontal="left" vertical="center"/>
    </xf>
    <xf numFmtId="0" fontId="0" fillId="13" borderId="0" xfId="0" applyFill="1" applyAlignment="1">
      <alignment vertical="center"/>
    </xf>
    <xf numFmtId="0" fontId="10" fillId="0" borderId="0" xfId="0" applyFont="1" applyAlignment="1">
      <alignment vertical="center"/>
    </xf>
    <xf numFmtId="171" fontId="17" fillId="0" borderId="0" xfId="3" applyNumberFormat="1" applyFont="1" applyBorder="1" applyAlignment="1" applyProtection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2" fontId="17" fillId="0" borderId="0" xfId="2" applyNumberFormat="1" applyFont="1" applyBorder="1" applyAlignment="1" applyProtection="1">
      <alignment horizontal="center" vertical="center"/>
    </xf>
    <xf numFmtId="174" fontId="17" fillId="0" borderId="0" xfId="3" applyNumberFormat="1" applyFont="1" applyBorder="1" applyAlignment="1" applyProtection="1">
      <alignment horizontal="center" vertical="center"/>
    </xf>
    <xf numFmtId="171" fontId="17" fillId="0" borderId="0" xfId="1" applyNumberFormat="1" applyFont="1" applyBorder="1" applyAlignment="1" applyProtection="1">
      <alignment horizontal="center" vertical="center"/>
    </xf>
    <xf numFmtId="3" fontId="17" fillId="0" borderId="0" xfId="3" applyNumberFormat="1" applyFont="1" applyBorder="1" applyAlignment="1" applyProtection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71" fontId="16" fillId="0" borderId="25" xfId="1" applyNumberFormat="1" applyFont="1" applyFill="1" applyBorder="1" applyAlignment="1" applyProtection="1">
      <alignment horizontal="center" vertical="center"/>
    </xf>
    <xf numFmtId="175" fontId="17" fillId="0" borderId="0" xfId="0" applyNumberFormat="1" applyFont="1" applyAlignment="1">
      <alignment horizontal="center" vertical="center"/>
    </xf>
    <xf numFmtId="168" fontId="17" fillId="0" borderId="0" xfId="2" applyNumberFormat="1" applyFont="1" applyBorder="1" applyAlignment="1" applyProtection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4" fontId="17" fillId="0" borderId="25" xfId="0" applyNumberFormat="1" applyFont="1" applyBorder="1" applyAlignment="1">
      <alignment horizontal="center" vertical="center"/>
    </xf>
    <xf numFmtId="3" fontId="17" fillId="0" borderId="0" xfId="2" applyNumberFormat="1" applyFont="1" applyBorder="1" applyAlignment="1" applyProtection="1">
      <alignment horizontal="center" vertical="center"/>
    </xf>
    <xf numFmtId="0" fontId="12" fillId="0" borderId="0" xfId="0" applyFont="1" applyAlignment="1">
      <alignment vertical="center"/>
    </xf>
    <xf numFmtId="0" fontId="6" fillId="0" borderId="0" xfId="0" applyFont="1"/>
    <xf numFmtId="9" fontId="0" fillId="0" borderId="0" xfId="3" applyNumberFormat="1" applyFont="1" applyBorder="1" applyProtection="1"/>
    <xf numFmtId="3" fontId="0" fillId="0" borderId="0" xfId="0" applyNumberFormat="1"/>
    <xf numFmtId="0" fontId="9" fillId="0" borderId="0" xfId="0" applyFont="1"/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left"/>
    </xf>
    <xf numFmtId="16" fontId="0" fillId="0" borderId="0" xfId="0" applyNumberFormat="1"/>
    <xf numFmtId="0" fontId="0" fillId="0" borderId="0" xfId="0" applyAlignment="1">
      <alignment horizontal="right"/>
    </xf>
  </cellXfs>
  <cellStyles count="5">
    <cellStyle name="Millares 3" xfId="2" xr:uid="{7489D743-F826-4886-BEAB-6571DC0884AD}"/>
    <cellStyle name="Normal" xfId="0" builtinId="0"/>
    <cellStyle name="Normal 2 2" xfId="4" xr:uid="{59774F54-1F62-4A18-89E8-1F246BE04701}"/>
    <cellStyle name="Porcentaje" xfId="1" builtinId="5"/>
    <cellStyle name="Porcentaje 2" xfId="3" xr:uid="{2BCCFF2F-0C5C-4549-A96D-FFEC8757197A}"/>
  </cellStyles>
  <dxfs count="5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TC\Informe_STC_ENERO_2026.xlsm" TargetMode="External"/><Relationship Id="rId1" Type="http://schemas.openxmlformats.org/officeDocument/2006/relationships/externalLinkPath" Target="/STC/Informe_STC_ENERO_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Datos"/>
      <sheetName val="Produccion STC"/>
      <sheetName val="URDIDORA"/>
      <sheetName val="INDIGO"/>
      <sheetName val="INTEGRADA"/>
      <sheetName val="Hoja1"/>
      <sheetName val="Hoja2"/>
      <sheetName val="Hoja3"/>
      <sheetName val="Hoja4"/>
      <sheetName val="Hoja5"/>
    </sheetNames>
    <sheetDataSet>
      <sheetData sheetId="0">
        <row r="27">
          <cell r="D27">
            <v>19</v>
          </cell>
        </row>
        <row r="33">
          <cell r="D33" t="str">
            <v>12/01/2026</v>
          </cell>
        </row>
        <row r="39">
          <cell r="D39">
            <v>28947.368421053001</v>
          </cell>
        </row>
        <row r="57">
          <cell r="J57" t="str">
            <v>Sí</v>
          </cell>
        </row>
        <row r="58">
          <cell r="J58" t="str">
            <v>No</v>
          </cell>
        </row>
        <row r="75">
          <cell r="J75" t="str">
            <v>A</v>
          </cell>
          <cell r="K75" t="str">
            <v>Telar</v>
          </cell>
        </row>
        <row r="76">
          <cell r="J76" t="str">
            <v>B</v>
          </cell>
          <cell r="K76" t="str">
            <v>Caída</v>
          </cell>
        </row>
        <row r="77">
          <cell r="J77" t="str">
            <v>C</v>
          </cell>
          <cell r="K77" t="str">
            <v>Grupo</v>
          </cell>
        </row>
        <row r="78">
          <cell r="J78" t="str">
            <v>Día</v>
          </cell>
          <cell r="K78" t="str">
            <v>Articulo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C1B3-6A45-4E30-B106-7E9042413A50}">
  <sheetPr codeName="Hoja2">
    <pageSetUpPr fitToPage="1"/>
  </sheetPr>
  <dimension ref="A1:AN74"/>
  <sheetViews>
    <sheetView showGridLines="0" tabSelected="1" zoomScale="90" zoomScaleNormal="90" workbookViewId="0">
      <pane ySplit="3" topLeftCell="A4" activePane="bottomLeft" state="frozen"/>
      <selection pane="bottomLeft" activeCell="B4" sqref="B4"/>
    </sheetView>
  </sheetViews>
  <sheetFormatPr baseColWidth="10" defaultColWidth="8.7109375" defaultRowHeight="15" outlineLevelRow="1" outlineLevelCol="1" x14ac:dyDescent="0.25"/>
  <cols>
    <col min="1" max="1" width="0.7109375" customWidth="1"/>
    <col min="2" max="2" width="9.85546875" style="157" customWidth="1"/>
    <col min="3" max="4" width="9.7109375" customWidth="1"/>
    <col min="5" max="5" width="14" style="158" customWidth="1"/>
    <col min="6" max="6" width="9.7109375" style="158" customWidth="1"/>
    <col min="7" max="7" width="10.85546875" style="158" customWidth="1"/>
    <col min="8" max="8" width="7.140625" style="158" customWidth="1" outlineLevel="1"/>
    <col min="9" max="9" width="7.28515625" customWidth="1"/>
    <col min="10" max="10" width="8.140625" bestFit="1" customWidth="1"/>
    <col min="11" max="11" width="6.85546875" customWidth="1" outlineLevel="1"/>
    <col min="12" max="12" width="9.7109375" bestFit="1" customWidth="1"/>
    <col min="13" max="13" width="10.28515625" customWidth="1"/>
    <col min="14" max="14" width="13.42578125" customWidth="1"/>
    <col min="15" max="15" width="6.140625" customWidth="1" outlineLevel="1"/>
    <col min="16" max="18" width="10.28515625" customWidth="1"/>
    <col min="19" max="20" width="10" customWidth="1"/>
    <col min="21" max="21" width="13.28515625" customWidth="1"/>
    <col min="22" max="22" width="9.7109375" bestFit="1" customWidth="1"/>
    <col min="23" max="23" width="7.5703125" customWidth="1"/>
    <col min="24" max="24" width="11.28515625" customWidth="1" outlineLevel="1"/>
    <col min="25" max="25" width="9.7109375" customWidth="1"/>
    <col min="26" max="26" width="10.28515625" customWidth="1"/>
    <col min="27" max="27" width="9.7109375" customWidth="1"/>
    <col min="28" max="28" width="1.140625" customWidth="1"/>
    <col min="29" max="29" width="4.5703125" customWidth="1"/>
    <col min="30" max="30" width="3" bestFit="1" customWidth="1"/>
    <col min="31" max="31" width="14.5703125" customWidth="1"/>
    <col min="32" max="32" width="8.7109375" customWidth="1"/>
    <col min="33" max="33" width="5.28515625" bestFit="1" customWidth="1"/>
    <col min="34" max="34" width="8.7109375" customWidth="1"/>
    <col min="35" max="35" width="5.28515625" bestFit="1" customWidth="1"/>
    <col min="36" max="36" width="8.7109375" customWidth="1"/>
    <col min="37" max="37" width="5.28515625" bestFit="1" customWidth="1"/>
    <col min="38" max="38" width="8.7109375" customWidth="1"/>
    <col min="39" max="39" width="7" bestFit="1" customWidth="1"/>
  </cols>
  <sheetData>
    <row r="1" spans="1:39" ht="20.25" thickBot="1" x14ac:dyDescent="0.3">
      <c r="B1" s="1" t="str">
        <f>"Producción de Indigo, Tejeduría, Acabado y Revisión Denim. " &amp;TEXT([1]Menu!D33, "MMMM YYYY")</f>
        <v>Producción de Indigo, Tejeduría, Acabado y Revisión Denim. enero 2026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D1" s="4"/>
      <c r="AE1" s="5" t="s">
        <v>0</v>
      </c>
      <c r="AF1" s="6"/>
      <c r="AG1" s="6"/>
      <c r="AH1" s="6"/>
      <c r="AI1" s="6"/>
      <c r="AJ1" s="6"/>
      <c r="AK1" s="6"/>
      <c r="AL1" s="6"/>
      <c r="AM1" s="7"/>
    </row>
    <row r="2" spans="1:39" ht="23.25" customHeight="1" thickBot="1" x14ac:dyDescent="0.3">
      <c r="B2" s="8"/>
      <c r="C2" s="9" t="s">
        <v>1</v>
      </c>
      <c r="D2" s="10"/>
      <c r="E2" s="11">
        <f>+N2/0.8</f>
        <v>687500.00000000873</v>
      </c>
      <c r="F2" s="12">
        <v>85</v>
      </c>
      <c r="G2" s="13" t="s">
        <v>2</v>
      </c>
      <c r="H2" s="14"/>
      <c r="I2" s="15"/>
      <c r="J2" s="15"/>
      <c r="K2" s="15"/>
      <c r="L2" s="15"/>
      <c r="M2" s="16" t="s">
        <v>3</v>
      </c>
      <c r="N2" s="17">
        <f>+[1]Menu!D39*[1]Menu!D27</f>
        <v>550000.00000000698</v>
      </c>
      <c r="O2" s="18">
        <f>+[1]Menu!D27</f>
        <v>19</v>
      </c>
      <c r="P2" s="19"/>
      <c r="Q2" s="20" t="s">
        <v>4</v>
      </c>
      <c r="R2" s="21">
        <v>88</v>
      </c>
      <c r="S2" s="22"/>
      <c r="T2" s="23" t="s">
        <v>5</v>
      </c>
      <c r="U2" s="24">
        <f>+B38</f>
        <v>550000</v>
      </c>
      <c r="V2" s="25"/>
      <c r="W2" s="25"/>
      <c r="X2" s="25"/>
      <c r="Y2" s="26" t="s">
        <v>6</v>
      </c>
      <c r="Z2" s="27">
        <f>B38</f>
        <v>550000</v>
      </c>
      <c r="AA2" s="28"/>
      <c r="AB2" s="29">
        <v>4</v>
      </c>
      <c r="AC2" s="30"/>
      <c r="AD2" s="31"/>
      <c r="AE2" s="29"/>
      <c r="AF2" s="32">
        <f>COUNTA($AF$4:$AF$34)</f>
        <v>19</v>
      </c>
      <c r="AG2" s="32"/>
      <c r="AH2" s="32">
        <f>COUNTA($AH$4:$AH$34)</f>
        <v>19</v>
      </c>
      <c r="AI2" s="32"/>
      <c r="AJ2" s="32">
        <f>SUM($AJ$4:$AJ$34)/3</f>
        <v>15.666666666666666</v>
      </c>
      <c r="AK2" s="32"/>
      <c r="AL2" s="32">
        <f>COUNTIF($AL$4:$AL$34,"X")</f>
        <v>15</v>
      </c>
      <c r="AM2" s="32"/>
    </row>
    <row r="3" spans="1:39" ht="37.5" customHeight="1" thickBot="1" x14ac:dyDescent="0.3">
      <c r="B3" s="33" t="s">
        <v>7</v>
      </c>
      <c r="C3" s="34" t="s">
        <v>8</v>
      </c>
      <c r="D3" s="35" t="s">
        <v>9</v>
      </c>
      <c r="E3" s="35" t="s">
        <v>10</v>
      </c>
      <c r="F3" s="36" t="s">
        <v>11</v>
      </c>
      <c r="G3" s="37" t="s">
        <v>12</v>
      </c>
      <c r="H3" s="38" t="s">
        <v>13</v>
      </c>
      <c r="I3" s="39" t="s">
        <v>14</v>
      </c>
      <c r="J3" s="40" t="s">
        <v>15</v>
      </c>
      <c r="K3" s="40" t="s">
        <v>16</v>
      </c>
      <c r="L3" s="41" t="s">
        <v>8</v>
      </c>
      <c r="M3" s="41" t="s">
        <v>9</v>
      </c>
      <c r="N3" s="40" t="s">
        <v>10</v>
      </c>
      <c r="O3" s="40" t="s">
        <v>17</v>
      </c>
      <c r="P3" s="40" t="s">
        <v>18</v>
      </c>
      <c r="Q3" s="40" t="s">
        <v>12</v>
      </c>
      <c r="R3" s="42" t="s">
        <v>19</v>
      </c>
      <c r="S3" s="43" t="s">
        <v>9</v>
      </c>
      <c r="T3" s="44" t="s">
        <v>10</v>
      </c>
      <c r="U3" s="45" t="s">
        <v>11</v>
      </c>
      <c r="V3" s="46" t="s">
        <v>20</v>
      </c>
      <c r="W3" s="47" t="s">
        <v>21</v>
      </c>
      <c r="X3" s="46" t="s">
        <v>22</v>
      </c>
      <c r="Y3" s="46" t="s">
        <v>23</v>
      </c>
      <c r="Z3" s="46" t="s">
        <v>18</v>
      </c>
      <c r="AA3" s="46" t="s">
        <v>12</v>
      </c>
      <c r="AB3" s="48"/>
      <c r="AC3" s="29"/>
      <c r="AD3" s="49"/>
      <c r="AE3" s="50" t="s">
        <v>7</v>
      </c>
      <c r="AF3" s="35" t="s">
        <v>24</v>
      </c>
      <c r="AG3" s="51" t="s">
        <v>17</v>
      </c>
      <c r="AH3" s="40" t="s">
        <v>25</v>
      </c>
      <c r="AI3" s="52" t="s">
        <v>17</v>
      </c>
      <c r="AJ3" s="53" t="s">
        <v>26</v>
      </c>
      <c r="AK3" s="54" t="s">
        <v>17</v>
      </c>
      <c r="AL3" s="55" t="s">
        <v>27</v>
      </c>
      <c r="AM3" s="56" t="s">
        <v>17</v>
      </c>
    </row>
    <row r="4" spans="1:39" s="57" customFormat="1" ht="15.95" customHeight="1" x14ac:dyDescent="0.25">
      <c r="B4" s="58">
        <v>46023</v>
      </c>
      <c r="C4" s="59"/>
      <c r="D4" s="60"/>
      <c r="E4" s="61"/>
      <c r="F4" s="62"/>
      <c r="G4" s="63"/>
      <c r="H4" s="64"/>
      <c r="I4" s="65"/>
      <c r="J4" s="66"/>
      <c r="K4" s="67"/>
      <c r="L4" s="68"/>
      <c r="M4" s="69"/>
      <c r="N4" s="70"/>
      <c r="O4" s="71"/>
      <c r="P4" s="72"/>
      <c r="Q4" s="73"/>
      <c r="R4" s="73"/>
      <c r="S4" s="74"/>
      <c r="T4" s="75"/>
      <c r="U4" s="76"/>
      <c r="V4" s="77"/>
      <c r="W4" s="78"/>
      <c r="X4" s="79"/>
      <c r="Y4" s="80"/>
      <c r="Z4" s="81"/>
      <c r="AA4" s="82"/>
      <c r="AB4" s="83"/>
      <c r="AE4" s="84">
        <f>+B4</f>
        <v>46023</v>
      </c>
      <c r="AF4" s="85"/>
      <c r="AG4" s="86"/>
      <c r="AH4" s="85"/>
      <c r="AI4" s="86"/>
      <c r="AJ4" s="87"/>
      <c r="AK4" s="88"/>
      <c r="AL4" s="89"/>
      <c r="AM4" s="90"/>
    </row>
    <row r="5" spans="1:39" s="57" customFormat="1" ht="15.95" customHeight="1" x14ac:dyDescent="0.25">
      <c r="B5" s="58">
        <v>46024</v>
      </c>
      <c r="C5" s="59"/>
      <c r="D5" s="60"/>
      <c r="E5" s="61"/>
      <c r="F5" s="62"/>
      <c r="G5" s="63"/>
      <c r="H5" s="64"/>
      <c r="I5" s="65"/>
      <c r="J5" s="66"/>
      <c r="K5" s="67"/>
      <c r="L5" s="68"/>
      <c r="M5" s="69"/>
      <c r="N5" s="70"/>
      <c r="O5" s="71"/>
      <c r="P5" s="72"/>
      <c r="Q5" s="73"/>
      <c r="R5" s="73"/>
      <c r="S5" s="74"/>
      <c r="T5" s="75"/>
      <c r="U5" s="76"/>
      <c r="V5" s="77"/>
      <c r="W5" s="78"/>
      <c r="X5" s="79"/>
      <c r="Y5" s="80"/>
      <c r="Z5" s="81"/>
      <c r="AA5" s="82"/>
      <c r="AB5" s="83"/>
      <c r="AC5" s="57">
        <v>26</v>
      </c>
      <c r="AE5" s="84">
        <f t="shared" ref="AE5:AE34" si="0">+B5</f>
        <v>46024</v>
      </c>
      <c r="AF5" s="85"/>
      <c r="AG5" s="86"/>
      <c r="AH5" s="85"/>
      <c r="AI5" s="86"/>
      <c r="AJ5" s="87"/>
      <c r="AK5" s="88"/>
      <c r="AL5" s="89"/>
      <c r="AM5" s="90"/>
    </row>
    <row r="6" spans="1:39" s="57" customFormat="1" ht="15.95" customHeight="1" x14ac:dyDescent="0.25">
      <c r="B6" s="58">
        <v>46025</v>
      </c>
      <c r="C6" s="59"/>
      <c r="D6" s="60"/>
      <c r="E6" s="61"/>
      <c r="F6" s="62"/>
      <c r="G6" s="63"/>
      <c r="H6" s="64"/>
      <c r="I6" s="65"/>
      <c r="J6" s="66"/>
      <c r="K6" s="67"/>
      <c r="L6" s="68"/>
      <c r="M6" s="69"/>
      <c r="N6" s="70"/>
      <c r="O6" s="71"/>
      <c r="P6" s="72"/>
      <c r="Q6" s="73"/>
      <c r="R6" s="73"/>
      <c r="S6" s="74"/>
      <c r="T6" s="75"/>
      <c r="U6" s="76"/>
      <c r="V6" s="77"/>
      <c r="W6" s="78"/>
      <c r="X6" s="79"/>
      <c r="Y6" s="80"/>
      <c r="Z6" s="81"/>
      <c r="AA6" s="82"/>
      <c r="AB6" s="83"/>
      <c r="AC6" s="57">
        <v>25</v>
      </c>
      <c r="AE6" s="84">
        <f t="shared" si="0"/>
        <v>46025</v>
      </c>
      <c r="AF6" s="85"/>
      <c r="AG6" s="86"/>
      <c r="AH6" s="85"/>
      <c r="AI6" s="86"/>
      <c r="AJ6" s="87"/>
      <c r="AK6" s="88"/>
      <c r="AL6" s="89"/>
      <c r="AM6" s="90"/>
    </row>
    <row r="7" spans="1:39" s="57" customFormat="1" ht="15.95" customHeight="1" x14ac:dyDescent="0.25">
      <c r="B7" s="58">
        <v>46026</v>
      </c>
      <c r="C7" s="59"/>
      <c r="D7" s="60"/>
      <c r="E7" s="61"/>
      <c r="F7" s="62"/>
      <c r="G7" s="63"/>
      <c r="H7" s="64"/>
      <c r="I7" s="65"/>
      <c r="J7" s="66"/>
      <c r="K7" s="67"/>
      <c r="L7" s="68"/>
      <c r="M7" s="69"/>
      <c r="N7" s="70"/>
      <c r="O7" s="71"/>
      <c r="P7" s="72"/>
      <c r="Q7" s="73"/>
      <c r="R7" s="73"/>
      <c r="S7" s="74"/>
      <c r="T7" s="75"/>
      <c r="U7" s="76"/>
      <c r="V7" s="77"/>
      <c r="W7" s="78"/>
      <c r="X7" s="79"/>
      <c r="Y7" s="80"/>
      <c r="Z7" s="81"/>
      <c r="AA7" s="82"/>
      <c r="AB7" s="83"/>
      <c r="AC7" s="57">
        <v>24</v>
      </c>
      <c r="AE7" s="84">
        <f t="shared" si="0"/>
        <v>46026</v>
      </c>
      <c r="AF7" s="85"/>
      <c r="AG7" s="86"/>
      <c r="AH7" s="85"/>
      <c r="AI7" s="86"/>
      <c r="AJ7" s="87"/>
      <c r="AK7" s="88"/>
      <c r="AL7" s="89"/>
      <c r="AM7" s="90"/>
    </row>
    <row r="8" spans="1:39" s="57" customFormat="1" ht="15.95" customHeight="1" x14ac:dyDescent="0.25">
      <c r="B8" s="58">
        <v>46027</v>
      </c>
      <c r="C8" s="59"/>
      <c r="D8" s="60"/>
      <c r="E8" s="61"/>
      <c r="F8" s="62"/>
      <c r="G8" s="63"/>
      <c r="H8" s="64"/>
      <c r="I8" s="65"/>
      <c r="J8" s="66"/>
      <c r="K8" s="67"/>
      <c r="L8" s="68"/>
      <c r="M8" s="69"/>
      <c r="N8" s="70"/>
      <c r="O8" s="71"/>
      <c r="P8" s="72"/>
      <c r="Q8" s="73"/>
      <c r="R8" s="73"/>
      <c r="S8" s="74"/>
      <c r="T8" s="75"/>
      <c r="U8" s="76"/>
      <c r="V8" s="77"/>
      <c r="W8" s="78"/>
      <c r="X8" s="79"/>
      <c r="Y8" s="80"/>
      <c r="Z8" s="81"/>
      <c r="AA8" s="82"/>
      <c r="AB8" s="83"/>
      <c r="AC8" s="57">
        <v>23</v>
      </c>
      <c r="AE8" s="84">
        <f t="shared" si="0"/>
        <v>46027</v>
      </c>
      <c r="AF8" s="85"/>
      <c r="AG8" s="86"/>
      <c r="AH8" s="85"/>
      <c r="AI8" s="86"/>
      <c r="AJ8" s="87"/>
      <c r="AK8" s="88"/>
      <c r="AL8" s="89"/>
      <c r="AM8" s="90"/>
    </row>
    <row r="9" spans="1:39" s="57" customFormat="1" ht="15.95" customHeight="1" x14ac:dyDescent="0.25">
      <c r="A9" s="57" t="s">
        <v>28</v>
      </c>
      <c r="B9" s="58">
        <v>46028</v>
      </c>
      <c r="C9" s="59"/>
      <c r="D9" s="60"/>
      <c r="E9" s="61"/>
      <c r="F9" s="62"/>
      <c r="G9" s="63"/>
      <c r="H9" s="64"/>
      <c r="I9" s="65"/>
      <c r="J9" s="66"/>
      <c r="K9" s="67"/>
      <c r="L9" s="68"/>
      <c r="M9" s="69"/>
      <c r="N9" s="70"/>
      <c r="O9" s="71"/>
      <c r="P9" s="72"/>
      <c r="Q9" s="73"/>
      <c r="R9" s="73"/>
      <c r="S9" s="74"/>
      <c r="T9" s="75"/>
      <c r="U9" s="76"/>
      <c r="V9" s="77"/>
      <c r="W9" s="78"/>
      <c r="X9" s="79"/>
      <c r="Y9" s="80"/>
      <c r="Z9" s="81"/>
      <c r="AA9" s="82"/>
      <c r="AB9" s="83"/>
      <c r="AC9" s="57">
        <v>22</v>
      </c>
      <c r="AE9" s="84">
        <f t="shared" si="0"/>
        <v>46028</v>
      </c>
      <c r="AF9" s="85"/>
      <c r="AG9" s="86"/>
      <c r="AH9" s="85"/>
      <c r="AI9" s="86"/>
      <c r="AJ9" s="87"/>
      <c r="AK9" s="88"/>
      <c r="AL9" s="89"/>
      <c r="AM9" s="90"/>
    </row>
    <row r="10" spans="1:39" s="57" customFormat="1" ht="15.95" customHeight="1" x14ac:dyDescent="0.25">
      <c r="B10" s="58">
        <v>46029</v>
      </c>
      <c r="C10" s="59"/>
      <c r="D10" s="60"/>
      <c r="E10" s="61"/>
      <c r="F10" s="62"/>
      <c r="G10" s="63"/>
      <c r="H10" s="64"/>
      <c r="I10" s="65"/>
      <c r="J10" s="66"/>
      <c r="K10" s="67"/>
      <c r="L10" s="68"/>
      <c r="M10" s="69"/>
      <c r="N10" s="70"/>
      <c r="O10" s="71"/>
      <c r="P10" s="72"/>
      <c r="Q10" s="73"/>
      <c r="R10" s="73"/>
      <c r="S10" s="74"/>
      <c r="T10" s="75"/>
      <c r="U10" s="76"/>
      <c r="V10" s="77"/>
      <c r="W10" s="78"/>
      <c r="X10" s="79"/>
      <c r="Y10" s="80"/>
      <c r="Z10" s="81"/>
      <c r="AA10" s="82"/>
      <c r="AB10" s="83"/>
      <c r="AE10" s="84">
        <f t="shared" si="0"/>
        <v>46029</v>
      </c>
      <c r="AF10" s="85"/>
      <c r="AG10" s="86"/>
      <c r="AH10" s="85"/>
      <c r="AI10" s="86"/>
      <c r="AJ10" s="87"/>
      <c r="AK10" s="88"/>
      <c r="AL10" s="89"/>
      <c r="AM10" s="90"/>
    </row>
    <row r="11" spans="1:39" s="57" customFormat="1" ht="15.95" customHeight="1" x14ac:dyDescent="0.25">
      <c r="B11" s="58">
        <v>46030</v>
      </c>
      <c r="C11" s="59"/>
      <c r="D11" s="60"/>
      <c r="E11" s="61"/>
      <c r="F11" s="62"/>
      <c r="G11" s="63"/>
      <c r="H11" s="64"/>
      <c r="I11" s="65"/>
      <c r="J11" s="66"/>
      <c r="K11" s="67"/>
      <c r="L11" s="68"/>
      <c r="M11" s="69"/>
      <c r="N11" s="70"/>
      <c r="O11" s="71"/>
      <c r="P11" s="72"/>
      <c r="Q11" s="73"/>
      <c r="R11" s="73"/>
      <c r="S11" s="74"/>
      <c r="T11" s="75"/>
      <c r="U11" s="76"/>
      <c r="V11" s="77"/>
      <c r="W11" s="78"/>
      <c r="X11" s="79"/>
      <c r="Y11" s="80"/>
      <c r="Z11" s="81"/>
      <c r="AA11" s="82"/>
      <c r="AB11" s="83"/>
      <c r="AC11" s="57">
        <v>21</v>
      </c>
      <c r="AE11" s="84">
        <f t="shared" si="0"/>
        <v>46030</v>
      </c>
      <c r="AF11" s="85"/>
      <c r="AG11" s="86"/>
      <c r="AH11" s="85"/>
      <c r="AI11" s="86"/>
      <c r="AJ11" s="87"/>
      <c r="AK11" s="88"/>
      <c r="AL11" s="89"/>
      <c r="AM11" s="90"/>
    </row>
    <row r="12" spans="1:39" s="57" customFormat="1" ht="15.95" customHeight="1" x14ac:dyDescent="0.25">
      <c r="B12" s="58">
        <v>46031</v>
      </c>
      <c r="C12" s="59"/>
      <c r="D12" s="60"/>
      <c r="E12" s="61"/>
      <c r="F12" s="62"/>
      <c r="G12" s="63"/>
      <c r="H12" s="64"/>
      <c r="I12" s="65"/>
      <c r="J12" s="66"/>
      <c r="K12" s="67"/>
      <c r="L12" s="68"/>
      <c r="M12" s="69"/>
      <c r="N12" s="70"/>
      <c r="O12" s="71"/>
      <c r="P12" s="72"/>
      <c r="Q12" s="73"/>
      <c r="R12" s="73"/>
      <c r="S12" s="74"/>
      <c r="T12" s="75"/>
      <c r="U12" s="76"/>
      <c r="V12" s="77"/>
      <c r="W12" s="78"/>
      <c r="X12" s="79"/>
      <c r="Y12" s="80"/>
      <c r="Z12" s="81"/>
      <c r="AA12" s="82"/>
      <c r="AB12" s="83"/>
      <c r="AC12" s="57">
        <v>20</v>
      </c>
      <c r="AE12" s="84">
        <f t="shared" si="0"/>
        <v>46031</v>
      </c>
      <c r="AF12" s="85"/>
      <c r="AG12" s="86"/>
      <c r="AH12" s="85"/>
      <c r="AI12" s="86"/>
      <c r="AJ12" s="87"/>
      <c r="AK12" s="88"/>
      <c r="AL12" s="89"/>
      <c r="AM12" s="90"/>
    </row>
    <row r="13" spans="1:39" s="57" customFormat="1" ht="15.95" customHeight="1" x14ac:dyDescent="0.25">
      <c r="B13" s="58">
        <v>46032</v>
      </c>
      <c r="C13" s="59"/>
      <c r="D13" s="60"/>
      <c r="E13" s="61"/>
      <c r="F13" s="62"/>
      <c r="G13" s="63"/>
      <c r="H13" s="64"/>
      <c r="I13" s="65"/>
      <c r="J13" s="66"/>
      <c r="K13" s="67"/>
      <c r="L13" s="68"/>
      <c r="M13" s="69"/>
      <c r="N13" s="70"/>
      <c r="O13" s="71"/>
      <c r="P13" s="72"/>
      <c r="Q13" s="73"/>
      <c r="R13" s="73"/>
      <c r="S13" s="74"/>
      <c r="T13" s="75"/>
      <c r="U13" s="76"/>
      <c r="V13" s="77"/>
      <c r="W13" s="78"/>
      <c r="X13" s="79"/>
      <c r="Y13" s="80"/>
      <c r="Z13" s="81"/>
      <c r="AA13" s="82"/>
      <c r="AB13" s="83"/>
      <c r="AC13" s="57">
        <v>19</v>
      </c>
      <c r="AE13" s="84">
        <f t="shared" si="0"/>
        <v>46032</v>
      </c>
      <c r="AF13" s="85"/>
      <c r="AG13" s="86"/>
      <c r="AH13" s="85"/>
      <c r="AI13" s="86"/>
      <c r="AJ13" s="87"/>
      <c r="AK13" s="88"/>
      <c r="AL13" s="89"/>
      <c r="AM13" s="90"/>
    </row>
    <row r="14" spans="1:39" s="57" customFormat="1" ht="15.95" customHeight="1" x14ac:dyDescent="0.25">
      <c r="B14" s="58">
        <v>46033</v>
      </c>
      <c r="C14" s="59"/>
      <c r="D14" s="60"/>
      <c r="E14" s="61"/>
      <c r="F14" s="62"/>
      <c r="G14" s="63"/>
      <c r="H14" s="64"/>
      <c r="I14" s="65"/>
      <c r="J14" s="66"/>
      <c r="K14" s="67"/>
      <c r="L14" s="68"/>
      <c r="M14" s="69"/>
      <c r="N14" s="70"/>
      <c r="O14" s="71"/>
      <c r="P14" s="72"/>
      <c r="Q14" s="69"/>
      <c r="R14" s="73"/>
      <c r="S14" s="74"/>
      <c r="T14" s="75"/>
      <c r="U14" s="76"/>
      <c r="V14" s="77"/>
      <c r="W14" s="78"/>
      <c r="X14" s="79"/>
      <c r="Y14" s="80"/>
      <c r="Z14" s="81"/>
      <c r="AA14" s="82"/>
      <c r="AB14" s="83"/>
      <c r="AC14" s="57">
        <v>18</v>
      </c>
      <c r="AE14" s="84">
        <f t="shared" si="0"/>
        <v>46033</v>
      </c>
      <c r="AF14" s="85"/>
      <c r="AG14" s="86"/>
      <c r="AH14" s="85"/>
      <c r="AI14" s="86"/>
      <c r="AJ14" s="87"/>
      <c r="AK14" s="88"/>
      <c r="AL14" s="89"/>
      <c r="AM14" s="90"/>
    </row>
    <row r="15" spans="1:39" s="57" customFormat="1" ht="15.95" customHeight="1" x14ac:dyDescent="0.25">
      <c r="B15" s="58">
        <v>46034</v>
      </c>
      <c r="C15" s="91">
        <v>14.818961908748433</v>
      </c>
      <c r="D15" s="92">
        <v>7140</v>
      </c>
      <c r="E15" s="93">
        <v>36184.210526316252</v>
      </c>
      <c r="F15" s="94">
        <v>-29044.210526316252</v>
      </c>
      <c r="G15" s="95">
        <f>($E$2-(SUM($D$4:$D$15)))/$AG$16</f>
        <v>37797.777777778261</v>
      </c>
      <c r="H15" s="96">
        <v>33.459383753501399</v>
      </c>
      <c r="I15" s="97">
        <v>80</v>
      </c>
      <c r="J15" s="98">
        <v>16.816765533713038</v>
      </c>
      <c r="K15" s="99">
        <v>760.51581609542507</v>
      </c>
      <c r="L15" s="100">
        <v>29.946061030981181</v>
      </c>
      <c r="M15" s="101">
        <v>13588.175344533485</v>
      </c>
      <c r="N15" s="102">
        <v>28947.368421053001</v>
      </c>
      <c r="O15" s="103">
        <v>19</v>
      </c>
      <c r="P15" s="104">
        <v>-15359.193076519516</v>
      </c>
      <c r="Q15" s="101">
        <f>($N$2-(SUM($M$4:$M15)))/O16</f>
        <v>29800.65692530408</v>
      </c>
      <c r="R15" s="105">
        <v>11039.1</v>
      </c>
      <c r="S15" s="74"/>
      <c r="T15" s="75"/>
      <c r="U15" s="76"/>
      <c r="V15" s="77"/>
      <c r="W15" s="78"/>
      <c r="X15" s="79"/>
      <c r="Y15" s="80"/>
      <c r="Z15" s="81"/>
      <c r="AA15" s="82"/>
      <c r="AB15" s="83"/>
      <c r="AC15" s="57">
        <v>17</v>
      </c>
      <c r="AE15" s="84">
        <f t="shared" si="0"/>
        <v>46034</v>
      </c>
      <c r="AF15" s="106" t="s">
        <v>29</v>
      </c>
      <c r="AG15" s="107">
        <v>19</v>
      </c>
      <c r="AH15" s="108" t="s">
        <v>29</v>
      </c>
      <c r="AI15" s="107">
        <v>19</v>
      </c>
      <c r="AJ15" s="87"/>
      <c r="AK15" s="88"/>
      <c r="AL15" s="89"/>
      <c r="AM15" s="90"/>
    </row>
    <row r="16" spans="1:39" s="57" customFormat="1" ht="15.95" customHeight="1" x14ac:dyDescent="0.25">
      <c r="B16" s="58">
        <v>46035</v>
      </c>
      <c r="C16" s="91">
        <v>53.472969492959557</v>
      </c>
      <c r="D16" s="92">
        <v>30500</v>
      </c>
      <c r="E16" s="93">
        <v>36184.210526316252</v>
      </c>
      <c r="F16" s="94">
        <v>-5684.2105263162521</v>
      </c>
      <c r="G16" s="95">
        <f>($E$2-(SUM($D$4:$D$16)))/$AG$17</f>
        <v>38227.058823529922</v>
      </c>
      <c r="H16" s="96">
        <v>39.609836065573774</v>
      </c>
      <c r="I16" s="97">
        <v>53</v>
      </c>
      <c r="J16" s="98">
        <v>17.120648822223547</v>
      </c>
      <c r="K16" s="99">
        <v>761.94293938367764</v>
      </c>
      <c r="L16" s="100">
        <v>50.913608761071686</v>
      </c>
      <c r="M16" s="101">
        <v>14919.520600669952</v>
      </c>
      <c r="N16" s="102">
        <v>28947.368421053001</v>
      </c>
      <c r="O16" s="103">
        <v>18</v>
      </c>
      <c r="P16" s="104">
        <v>-14027.847820383049</v>
      </c>
      <c r="Q16" s="101">
        <f>($N$2-(SUM($M$4:$M16)))/O17</f>
        <v>30676.017885576679</v>
      </c>
      <c r="R16" s="105">
        <v>21046.31</v>
      </c>
      <c r="S16" s="74"/>
      <c r="T16" s="75"/>
      <c r="U16" s="76"/>
      <c r="V16" s="77"/>
      <c r="W16" s="78"/>
      <c r="X16" s="79"/>
      <c r="Y16" s="80"/>
      <c r="Z16" s="81"/>
      <c r="AA16" s="82"/>
      <c r="AB16" s="83"/>
      <c r="AC16" s="57">
        <v>16</v>
      </c>
      <c r="AE16" s="84">
        <f t="shared" si="0"/>
        <v>46035</v>
      </c>
      <c r="AF16" s="106" t="s">
        <v>29</v>
      </c>
      <c r="AG16" s="107">
        <v>18</v>
      </c>
      <c r="AH16" s="108" t="s">
        <v>29</v>
      </c>
      <c r="AI16" s="107">
        <v>18</v>
      </c>
      <c r="AJ16" s="87"/>
      <c r="AK16" s="88"/>
      <c r="AL16" s="89"/>
      <c r="AM16" s="90"/>
    </row>
    <row r="17" spans="2:40" s="57" customFormat="1" ht="15.95" customHeight="1" x14ac:dyDescent="0.25">
      <c r="B17" s="58">
        <v>46036</v>
      </c>
      <c r="C17" s="91">
        <v>43.199129542465023</v>
      </c>
      <c r="D17" s="92">
        <v>24710</v>
      </c>
      <c r="E17" s="93">
        <v>36184.210526316252</v>
      </c>
      <c r="F17" s="94">
        <v>-11474.210526316252</v>
      </c>
      <c r="G17" s="95">
        <f>($E$2-(SUM($D$4:$D$17)))/$AG$18</f>
        <v>39071.875000000546</v>
      </c>
      <c r="H17" s="96">
        <v>39.722379603399432</v>
      </c>
      <c r="I17" s="97">
        <v>64</v>
      </c>
      <c r="J17" s="98">
        <v>18.515377548161823</v>
      </c>
      <c r="K17" s="99">
        <v>775.70344375017828</v>
      </c>
      <c r="L17" s="100">
        <v>49.118143014951976</v>
      </c>
      <c r="M17" s="101">
        <v>16505.82268198688</v>
      </c>
      <c r="N17" s="102">
        <v>28947.368421053001</v>
      </c>
      <c r="O17" s="103">
        <v>17</v>
      </c>
      <c r="P17" s="104">
        <v>-12441.545739066121</v>
      </c>
      <c r="Q17" s="101">
        <f>($N$2-(SUM($M$4:$M17)))/O18</f>
        <v>31561.655085801041</v>
      </c>
      <c r="R17" s="105">
        <v>21927.83</v>
      </c>
      <c r="S17" s="109">
        <v>10793</v>
      </c>
      <c r="T17" s="110">
        <v>23404.255319149233</v>
      </c>
      <c r="U17" s="111">
        <v>-12611.255319149233</v>
      </c>
      <c r="V17" s="112"/>
      <c r="W17" s="113"/>
      <c r="X17" s="114"/>
      <c r="Y17" s="115"/>
      <c r="Z17" s="116"/>
      <c r="AA17" s="117"/>
      <c r="AE17" s="84">
        <f t="shared" si="0"/>
        <v>46036</v>
      </c>
      <c r="AF17" s="106" t="s">
        <v>29</v>
      </c>
      <c r="AG17" s="107">
        <v>17</v>
      </c>
      <c r="AH17" s="108" t="s">
        <v>29</v>
      </c>
      <c r="AI17" s="107">
        <v>17</v>
      </c>
      <c r="AJ17" s="118">
        <v>2</v>
      </c>
      <c r="AK17" s="119">
        <v>15.666666666666666</v>
      </c>
      <c r="AL17" s="89"/>
      <c r="AM17" s="90"/>
    </row>
    <row r="18" spans="2:40" s="57" customFormat="1" ht="15.95" customHeight="1" x14ac:dyDescent="0.25">
      <c r="B18" s="58">
        <v>46037</v>
      </c>
      <c r="C18" s="91">
        <v>42.674402372817639</v>
      </c>
      <c r="D18" s="92">
        <v>24850</v>
      </c>
      <c r="E18" s="93">
        <v>36184.210526316252</v>
      </c>
      <c r="F18" s="94">
        <v>-11334.210526316252</v>
      </c>
      <c r="G18" s="95">
        <f>($E$2-(SUM($D$4:$D$18)))/$AG$19</f>
        <v>40020.000000000582</v>
      </c>
      <c r="H18" s="96">
        <v>40.438631790744466</v>
      </c>
      <c r="I18" s="97">
        <v>64</v>
      </c>
      <c r="J18" s="98">
        <v>18.740275468095138</v>
      </c>
      <c r="K18" s="99">
        <v>776.67923042304233</v>
      </c>
      <c r="L18" s="100">
        <v>49.82020542006331</v>
      </c>
      <c r="M18" s="101">
        <v>16584.984240447346</v>
      </c>
      <c r="N18" s="102">
        <v>28947.368421053001</v>
      </c>
      <c r="O18" s="103">
        <v>16</v>
      </c>
      <c r="P18" s="104">
        <v>-12362.384180605655</v>
      </c>
      <c r="Q18" s="101">
        <f>($N$2-(SUM($M$4:$M18)))/O19</f>
        <v>32560.09980882462</v>
      </c>
      <c r="R18" s="105">
        <v>14607.24</v>
      </c>
      <c r="S18" s="109">
        <v>25354</v>
      </c>
      <c r="T18" s="110">
        <v>23404.255319149233</v>
      </c>
      <c r="U18" s="111">
        <v>1949.7446808507666</v>
      </c>
      <c r="V18" s="120">
        <v>88.313782682102769</v>
      </c>
      <c r="W18" s="121">
        <v>6.81</v>
      </c>
      <c r="X18" s="122">
        <v>20872.28</v>
      </c>
      <c r="Y18" s="123">
        <v>36666.66666666713</v>
      </c>
      <c r="Z18" s="124">
        <v>-15794.386666667131</v>
      </c>
      <c r="AA18" s="125">
        <v>37794.837142857141</v>
      </c>
      <c r="AB18" s="83"/>
      <c r="AC18" s="57">
        <v>15</v>
      </c>
      <c r="AE18" s="84">
        <f t="shared" si="0"/>
        <v>46037</v>
      </c>
      <c r="AF18" s="106" t="s">
        <v>29</v>
      </c>
      <c r="AG18" s="107">
        <v>16</v>
      </c>
      <c r="AH18" s="108" t="s">
        <v>29</v>
      </c>
      <c r="AI18" s="107">
        <v>16</v>
      </c>
      <c r="AJ18" s="118">
        <v>2</v>
      </c>
      <c r="AK18" s="119">
        <v>15</v>
      </c>
      <c r="AL18" s="126" t="s">
        <v>29</v>
      </c>
      <c r="AM18" s="127">
        <v>15</v>
      </c>
    </row>
    <row r="19" spans="2:40" s="57" customFormat="1" ht="15.95" customHeight="1" x14ac:dyDescent="0.25">
      <c r="B19" s="58">
        <v>46038</v>
      </c>
      <c r="C19" s="91">
        <v>43.897827282728272</v>
      </c>
      <c r="D19" s="92">
        <v>22600</v>
      </c>
      <c r="E19" s="93">
        <v>36184.210526316252</v>
      </c>
      <c r="F19" s="94">
        <v>-13584.210526316252</v>
      </c>
      <c r="G19" s="95">
        <f>($E$2-(SUM($D$4:$D$19)))/$AG$20</f>
        <v>41264.285714286336</v>
      </c>
      <c r="H19" s="96">
        <v>35.752212389380531</v>
      </c>
      <c r="I19" s="97">
        <v>56</v>
      </c>
      <c r="J19" s="98">
        <v>18.99628563777166</v>
      </c>
      <c r="K19" s="99">
        <v>777.96701174056079</v>
      </c>
      <c r="L19" s="100">
        <v>52.867958710878916</v>
      </c>
      <c r="M19" s="101">
        <v>15286.994486047568</v>
      </c>
      <c r="N19" s="102">
        <v>28947.368421053001</v>
      </c>
      <c r="O19" s="103">
        <v>15</v>
      </c>
      <c r="P19" s="104">
        <v>-13660.373935005433</v>
      </c>
      <c r="Q19" s="101">
        <f>($N$2-(SUM($M$4:$M19)))/O20</f>
        <v>33793.893046165838</v>
      </c>
      <c r="R19" s="128">
        <v>6627.85</v>
      </c>
      <c r="S19" s="109">
        <v>27636</v>
      </c>
      <c r="T19" s="110">
        <v>23404.255319149233</v>
      </c>
      <c r="U19" s="111">
        <v>4231.7446808507666</v>
      </c>
      <c r="V19" s="120">
        <v>98.126801152737755</v>
      </c>
      <c r="W19" s="121">
        <v>8.02</v>
      </c>
      <c r="X19" s="122">
        <v>20820</v>
      </c>
      <c r="Y19" s="123">
        <v>36666.66666666713</v>
      </c>
      <c r="Z19" s="124">
        <v>-15846.66666666713</v>
      </c>
      <c r="AA19" s="125">
        <v>39100.593846153846</v>
      </c>
      <c r="AB19" s="83"/>
      <c r="AC19" s="57">
        <v>14</v>
      </c>
      <c r="AE19" s="84">
        <f t="shared" si="0"/>
        <v>46038</v>
      </c>
      <c r="AF19" s="106" t="s">
        <v>29</v>
      </c>
      <c r="AG19" s="107">
        <v>15</v>
      </c>
      <c r="AH19" s="108" t="s">
        <v>29</v>
      </c>
      <c r="AI19" s="107">
        <v>15</v>
      </c>
      <c r="AJ19" s="118">
        <v>2</v>
      </c>
      <c r="AK19" s="119">
        <v>14.333333333333332</v>
      </c>
      <c r="AL19" s="126" t="s">
        <v>29</v>
      </c>
      <c r="AM19" s="127">
        <v>14</v>
      </c>
    </row>
    <row r="20" spans="2:40" s="57" customFormat="1" ht="15.95" customHeight="1" x14ac:dyDescent="0.25">
      <c r="B20" s="58">
        <v>46039</v>
      </c>
      <c r="C20" s="91">
        <v>26.67833227701696</v>
      </c>
      <c r="D20" s="92">
        <v>12634</v>
      </c>
      <c r="E20" s="93">
        <v>36184.210526316252</v>
      </c>
      <c r="F20" s="94">
        <v>-23550.210526316252</v>
      </c>
      <c r="G20" s="95" t="e">
        <f>($E$2-(SUM($D$4:$D$20)))/$AG$21</f>
        <v>#DIV/0!</v>
      </c>
      <c r="H20" s="96">
        <v>32.886655057780594</v>
      </c>
      <c r="I20" s="97">
        <v>56</v>
      </c>
      <c r="J20" s="98">
        <v>18.917681715364171</v>
      </c>
      <c r="K20" s="99">
        <v>777.12925947665974</v>
      </c>
      <c r="L20" s="100">
        <v>51.698854150615048</v>
      </c>
      <c r="M20" s="101">
        <v>14997.16116745854</v>
      </c>
      <c r="N20" s="102">
        <v>28947.368421053001</v>
      </c>
      <c r="O20" s="103">
        <v>14</v>
      </c>
      <c r="P20" s="104">
        <v>-13950.207253594461</v>
      </c>
      <c r="Q20" s="101" t="e">
        <f>($N$2-(SUM($M$4:$M20)))/O21</f>
        <v>#DIV/0!</v>
      </c>
      <c r="R20" s="128">
        <v>1920.24</v>
      </c>
      <c r="S20" s="109">
        <v>25404</v>
      </c>
      <c r="T20" s="110">
        <v>23404.255319149233</v>
      </c>
      <c r="U20" s="111">
        <v>1999.7446808507666</v>
      </c>
      <c r="V20" s="129">
        <v>94.178449199709618</v>
      </c>
      <c r="W20" s="130">
        <v>6.51</v>
      </c>
      <c r="X20" s="131">
        <v>28927</v>
      </c>
      <c r="Y20" s="132">
        <v>36666.66666666713</v>
      </c>
      <c r="Z20" s="133">
        <v>-7739.6666666671299</v>
      </c>
      <c r="AA20" s="134">
        <v>39948.393333333333</v>
      </c>
      <c r="AB20" s="83"/>
      <c r="AC20" s="57">
        <v>13</v>
      </c>
      <c r="AE20" s="84">
        <f t="shared" si="0"/>
        <v>46039</v>
      </c>
      <c r="AF20" s="106" t="s">
        <v>29</v>
      </c>
      <c r="AG20" s="107">
        <v>14</v>
      </c>
      <c r="AH20" s="108" t="s">
        <v>29</v>
      </c>
      <c r="AI20" s="107">
        <v>14</v>
      </c>
      <c r="AJ20" s="118">
        <v>2</v>
      </c>
      <c r="AK20" s="119">
        <v>13.666666666666664</v>
      </c>
      <c r="AL20" s="126" t="s">
        <v>29</v>
      </c>
      <c r="AM20" s="127">
        <v>13</v>
      </c>
    </row>
    <row r="21" spans="2:40" s="141" customFormat="1" ht="15.95" customHeight="1" x14ac:dyDescent="0.25">
      <c r="B21" s="58">
        <v>46040</v>
      </c>
      <c r="C21" s="59"/>
      <c r="D21" s="60"/>
      <c r="E21" s="61"/>
      <c r="F21" s="62"/>
      <c r="G21" s="63"/>
      <c r="H21" s="64"/>
      <c r="I21" s="65"/>
      <c r="J21" s="66"/>
      <c r="K21" s="67"/>
      <c r="L21" s="68"/>
      <c r="M21" s="69"/>
      <c r="N21" s="70"/>
      <c r="O21" s="71"/>
      <c r="P21" s="72"/>
      <c r="Q21" s="69"/>
      <c r="R21" s="135"/>
      <c r="S21" s="74"/>
      <c r="T21" s="75"/>
      <c r="U21" s="76"/>
      <c r="V21" s="136">
        <f>SUMPRODUCT($V$18:$V$20,$X$18:$X$20)/SUM($X$18:$X$20)</f>
        <v>93.609139033986182</v>
      </c>
      <c r="W21" s="137">
        <f>SUMPRODUCT($W$18:$W$20,$X$18:$X$20)/SUM($X$18:$X$20)</f>
        <v>7.0438469041315628</v>
      </c>
      <c r="X21" s="138">
        <f>AVERAGE($X$18:$X$20)</f>
        <v>23539.759999999998</v>
      </c>
      <c r="Y21" s="139" t="s">
        <v>30</v>
      </c>
      <c r="Z21" s="81"/>
      <c r="AA21" s="82"/>
      <c r="AB21" s="83"/>
      <c r="AC21" s="57">
        <v>12</v>
      </c>
      <c r="AD21" s="57"/>
      <c r="AE21" s="140">
        <f t="shared" si="0"/>
        <v>46040</v>
      </c>
      <c r="AF21" s="85"/>
      <c r="AG21" s="86"/>
      <c r="AH21" s="85"/>
      <c r="AI21" s="86"/>
      <c r="AJ21" s="87"/>
      <c r="AK21" s="88"/>
      <c r="AL21" s="89" t="s">
        <v>31</v>
      </c>
      <c r="AM21" s="90"/>
      <c r="AN21" s="57"/>
    </row>
    <row r="22" spans="2:40" s="57" customFormat="1" ht="15.95" customHeight="1" x14ac:dyDescent="0.25">
      <c r="B22" s="58">
        <v>46041</v>
      </c>
      <c r="C22" s="91">
        <v>82.754629629629633</v>
      </c>
      <c r="D22" s="92">
        <v>35750</v>
      </c>
      <c r="E22" s="93">
        <v>36184.210526316252</v>
      </c>
      <c r="F22" s="94">
        <v>-434.21052631625207</v>
      </c>
      <c r="G22" s="95">
        <f>($E$2-(SUM($D$4:$D$22)))/$AG$23</f>
        <v>44109.666666667392</v>
      </c>
      <c r="H22" s="96">
        <v>30</v>
      </c>
      <c r="I22" s="97">
        <v>80</v>
      </c>
      <c r="J22" s="98">
        <v>17.36992646760087</v>
      </c>
      <c r="K22" s="99">
        <v>766.60125692810561</v>
      </c>
      <c r="L22" s="100">
        <v>71.679376402894377</v>
      </c>
      <c r="M22" s="101">
        <v>31630.179737651186</v>
      </c>
      <c r="N22" s="102">
        <v>28947.368421053001</v>
      </c>
      <c r="O22" s="103">
        <v>13</v>
      </c>
      <c r="P22" s="104">
        <v>2682.8113165981849</v>
      </c>
      <c r="Q22" s="101">
        <f>($N$2-(SUM($M$4:$M22)))/O23</f>
        <v>35540.596811767668</v>
      </c>
      <c r="R22" s="128">
        <v>25332.67</v>
      </c>
      <c r="S22" s="109">
        <v>18374</v>
      </c>
      <c r="T22" s="110">
        <v>35106.38297872385</v>
      </c>
      <c r="U22" s="111">
        <v>-16732.38297872385</v>
      </c>
      <c r="V22" s="129">
        <v>95.920958654075079</v>
      </c>
      <c r="W22" s="130">
        <v>6.17</v>
      </c>
      <c r="X22" s="131">
        <v>25202</v>
      </c>
      <c r="Y22" s="132">
        <v>36666.66666666713</v>
      </c>
      <c r="Z22" s="133">
        <v>-11464.66666666713</v>
      </c>
      <c r="AA22" s="134">
        <v>41288.974545454541</v>
      </c>
      <c r="AB22" s="83"/>
      <c r="AC22" s="57">
        <v>11</v>
      </c>
      <c r="AE22" s="84">
        <f t="shared" si="0"/>
        <v>46041</v>
      </c>
      <c r="AF22" s="106" t="s">
        <v>29</v>
      </c>
      <c r="AG22" s="107">
        <v>13</v>
      </c>
      <c r="AH22" s="108" t="s">
        <v>29</v>
      </c>
      <c r="AI22" s="107">
        <v>13</v>
      </c>
      <c r="AJ22" s="118">
        <v>3</v>
      </c>
      <c r="AK22" s="119">
        <v>12.999999999999996</v>
      </c>
      <c r="AL22" s="126" t="s">
        <v>29</v>
      </c>
      <c r="AM22" s="127">
        <v>12</v>
      </c>
    </row>
    <row r="23" spans="2:40" s="57" customFormat="1" ht="15.95" customHeight="1" x14ac:dyDescent="0.25">
      <c r="B23" s="58">
        <v>46042</v>
      </c>
      <c r="C23" s="91">
        <v>64.298826845061114</v>
      </c>
      <c r="D23" s="92">
        <v>31511</v>
      </c>
      <c r="E23" s="93">
        <v>36184.210526316252</v>
      </c>
      <c r="F23" s="94">
        <v>-4673.2105263162521</v>
      </c>
      <c r="G23" s="95">
        <f>($E$2-(SUM($D$4:$D$23)))/$AG$24</f>
        <v>45255.000000000793</v>
      </c>
      <c r="H23" s="96">
        <v>34.032718733140811</v>
      </c>
      <c r="I23" s="97">
        <v>80</v>
      </c>
      <c r="J23" s="98">
        <v>16.957532905263506</v>
      </c>
      <c r="K23" s="99">
        <v>768.32301779597287</v>
      </c>
      <c r="L23" s="100">
        <v>67.607664740092005</v>
      </c>
      <c r="M23" s="101">
        <v>30609.540515111523</v>
      </c>
      <c r="N23" s="102">
        <v>28947.368421053001</v>
      </c>
      <c r="O23" s="103">
        <v>12</v>
      </c>
      <c r="P23" s="104">
        <v>1662.1720940585219</v>
      </c>
      <c r="Q23" s="101">
        <f>($N$2-(SUM($M$4:$M23)))/O24</f>
        <v>35988.874656918226</v>
      </c>
      <c r="R23" s="128">
        <v>37632.980000000003</v>
      </c>
      <c r="S23" s="109">
        <v>44906</v>
      </c>
      <c r="T23" s="110">
        <v>35106.38297872385</v>
      </c>
      <c r="U23" s="111">
        <v>9799.6170212761499</v>
      </c>
      <c r="V23" s="129">
        <v>93.550074870154134</v>
      </c>
      <c r="W23" s="130">
        <v>6.63</v>
      </c>
      <c r="X23" s="131">
        <v>23260.27</v>
      </c>
      <c r="Y23" s="132">
        <v>36666.66666666713</v>
      </c>
      <c r="Z23" s="133">
        <v>-13406.396666667129</v>
      </c>
      <c r="AA23" s="134">
        <v>43091.845000000001</v>
      </c>
      <c r="AB23" s="83"/>
      <c r="AC23" s="57">
        <v>10</v>
      </c>
      <c r="AE23" s="84">
        <f t="shared" si="0"/>
        <v>46042</v>
      </c>
      <c r="AF23" s="106" t="s">
        <v>29</v>
      </c>
      <c r="AG23" s="107">
        <v>12</v>
      </c>
      <c r="AH23" s="108" t="s">
        <v>29</v>
      </c>
      <c r="AI23" s="107">
        <v>12</v>
      </c>
      <c r="AJ23" s="118">
        <v>3</v>
      </c>
      <c r="AK23" s="119">
        <v>11.999999999999996</v>
      </c>
      <c r="AL23" s="126" t="s">
        <v>29</v>
      </c>
      <c r="AM23" s="127">
        <v>11</v>
      </c>
    </row>
    <row r="24" spans="2:40" s="57" customFormat="1" ht="15.95" customHeight="1" x14ac:dyDescent="0.25">
      <c r="B24" s="58">
        <v>46043</v>
      </c>
      <c r="C24" s="91">
        <v>87.424022295777732</v>
      </c>
      <c r="D24" s="92">
        <v>42018</v>
      </c>
      <c r="E24" s="93">
        <v>36184.210526316252</v>
      </c>
      <c r="F24" s="94">
        <v>5833.7894736837479</v>
      </c>
      <c r="G24" s="95">
        <f>($E$2-(SUM($D$4:$D$24)))/$AG$25</f>
        <v>45578.70000000087</v>
      </c>
      <c r="H24" s="96">
        <v>33.376600504545671</v>
      </c>
      <c r="I24" s="97">
        <v>80</v>
      </c>
      <c r="J24" s="98">
        <v>16.993460609950759</v>
      </c>
      <c r="K24" s="99">
        <v>769.08224748029761</v>
      </c>
      <c r="L24" s="100">
        <v>72.021462029347418</v>
      </c>
      <c r="M24" s="101">
        <v>32610.446266342104</v>
      </c>
      <c r="N24" s="102">
        <v>28947.368421053001</v>
      </c>
      <c r="O24" s="103">
        <v>11</v>
      </c>
      <c r="P24" s="104">
        <v>3663.0778452891027</v>
      </c>
      <c r="Q24" s="101">
        <f>($N$2-(SUM($M$4:$M24)))/O25</f>
        <v>36326.717495975841</v>
      </c>
      <c r="R24" s="128">
        <v>34000.959999999999</v>
      </c>
      <c r="S24" s="109">
        <v>42062</v>
      </c>
      <c r="T24" s="110">
        <v>35106.38297872385</v>
      </c>
      <c r="U24" s="111">
        <v>6955.6170212761499</v>
      </c>
      <c r="V24" s="129">
        <v>96.250828415438505</v>
      </c>
      <c r="W24" s="130">
        <v>7.73</v>
      </c>
      <c r="X24" s="131">
        <v>31687</v>
      </c>
      <c r="Y24" s="132">
        <v>36666.66666666713</v>
      </c>
      <c r="Z24" s="133">
        <v>-4979.6666666671299</v>
      </c>
      <c r="AA24" s="134">
        <v>44359.05</v>
      </c>
      <c r="AB24" s="83"/>
      <c r="AE24" s="84">
        <f t="shared" si="0"/>
        <v>46043</v>
      </c>
      <c r="AF24" s="106" t="s">
        <v>29</v>
      </c>
      <c r="AG24" s="107">
        <v>11</v>
      </c>
      <c r="AH24" s="108" t="s">
        <v>29</v>
      </c>
      <c r="AI24" s="107">
        <v>11</v>
      </c>
      <c r="AJ24" s="118">
        <v>3</v>
      </c>
      <c r="AK24" s="119">
        <v>10.999999999999996</v>
      </c>
      <c r="AL24" s="126" t="s">
        <v>29</v>
      </c>
      <c r="AM24" s="127">
        <v>10</v>
      </c>
    </row>
    <row r="25" spans="2:40" s="57" customFormat="1" ht="15.95" customHeight="1" x14ac:dyDescent="0.25">
      <c r="B25" s="58">
        <v>46044</v>
      </c>
      <c r="C25" s="91">
        <v>92.226361081092065</v>
      </c>
      <c r="D25" s="92">
        <v>41211</v>
      </c>
      <c r="E25" s="93">
        <v>36184.210526316252</v>
      </c>
      <c r="F25" s="94">
        <v>5026.7894736837479</v>
      </c>
      <c r="G25" s="95">
        <f>($E$2-(SUM($D$4:$D$25)))/$AG$26</f>
        <v>46064.000000000968</v>
      </c>
      <c r="H25" s="96">
        <v>31.030986872436969</v>
      </c>
      <c r="I25" s="97">
        <v>80</v>
      </c>
      <c r="J25" s="98">
        <v>17.096519751505298</v>
      </c>
      <c r="K25" s="99">
        <v>772.08474919435116</v>
      </c>
      <c r="L25" s="100">
        <v>66.994686565942672</v>
      </c>
      <c r="M25" s="101">
        <v>30076.074743500165</v>
      </c>
      <c r="N25" s="102">
        <v>28947.368421053001</v>
      </c>
      <c r="O25" s="103">
        <v>10</v>
      </c>
      <c r="P25" s="104">
        <v>1128.706322447164</v>
      </c>
      <c r="Q25" s="101">
        <f>($N$2-(SUM($M$4:$M25)))/O26</f>
        <v>37021.233357362027</v>
      </c>
      <c r="R25" s="128">
        <v>28821.45</v>
      </c>
      <c r="S25" s="109">
        <v>24750</v>
      </c>
      <c r="T25" s="110">
        <v>35106.38297872385</v>
      </c>
      <c r="U25" s="111">
        <v>-10356.38297872385</v>
      </c>
      <c r="V25" s="129">
        <v>97.184904249352314</v>
      </c>
      <c r="W25" s="130">
        <v>7.73</v>
      </c>
      <c r="X25" s="131">
        <v>37441</v>
      </c>
      <c r="Y25" s="132">
        <v>36666.66666666713</v>
      </c>
      <c r="Z25" s="133">
        <v>774.3333333328701</v>
      </c>
      <c r="AA25" s="134">
        <v>45223.806250000001</v>
      </c>
      <c r="AB25" s="83"/>
      <c r="AC25" s="57">
        <v>9</v>
      </c>
      <c r="AE25" s="84">
        <f t="shared" si="0"/>
        <v>46044</v>
      </c>
      <c r="AF25" s="106" t="s">
        <v>29</v>
      </c>
      <c r="AG25" s="107">
        <v>10</v>
      </c>
      <c r="AH25" s="108" t="s">
        <v>29</v>
      </c>
      <c r="AI25" s="107">
        <v>10</v>
      </c>
      <c r="AJ25" s="118">
        <v>3</v>
      </c>
      <c r="AK25" s="119">
        <v>9.9999999999999964</v>
      </c>
      <c r="AL25" s="126" t="s">
        <v>29</v>
      </c>
      <c r="AM25" s="127">
        <v>9</v>
      </c>
    </row>
    <row r="26" spans="2:40" s="57" customFormat="1" ht="15.95" customHeight="1" x14ac:dyDescent="0.25">
      <c r="B26" s="58">
        <v>46045</v>
      </c>
      <c r="C26" s="91">
        <v>80.432870370370367</v>
      </c>
      <c r="D26" s="92">
        <v>34747</v>
      </c>
      <c r="E26" s="93">
        <v>36184.210526316252</v>
      </c>
      <c r="F26" s="94">
        <v>-1437.2105263162521</v>
      </c>
      <c r="G26" s="95">
        <f>($E$2-(SUM($D$4:$D$26)))/$AG$27</f>
        <v>47478.625000001091</v>
      </c>
      <c r="H26" s="96">
        <v>30</v>
      </c>
      <c r="I26" s="97">
        <v>80</v>
      </c>
      <c r="J26" s="98">
        <v>16.902606262050135</v>
      </c>
      <c r="K26" s="99">
        <v>770.74711473183982</v>
      </c>
      <c r="L26" s="100">
        <v>73.30620638741901</v>
      </c>
      <c r="M26" s="101">
        <v>33181.698828259476</v>
      </c>
      <c r="N26" s="102">
        <v>28947.368421053001</v>
      </c>
      <c r="O26" s="103">
        <v>9</v>
      </c>
      <c r="P26" s="104">
        <v>4234.3304072064748</v>
      </c>
      <c r="Q26" s="101">
        <f>($N$2-(SUM($M$4:$M26)))/O27</f>
        <v>37501.175173499847</v>
      </c>
      <c r="R26" s="128"/>
      <c r="S26" s="109">
        <v>42478</v>
      </c>
      <c r="T26" s="110">
        <v>35106.38297872385</v>
      </c>
      <c r="U26" s="111">
        <v>7371.6170212761499</v>
      </c>
      <c r="V26" s="129">
        <v>94.468543562700233</v>
      </c>
      <c r="W26" s="130">
        <v>6.5</v>
      </c>
      <c r="X26" s="131">
        <v>35271</v>
      </c>
      <c r="Y26" s="132">
        <v>36666.66666666713</v>
      </c>
      <c r="Z26" s="133">
        <v>-1395.6666666671299</v>
      </c>
      <c r="AA26" s="134">
        <v>46645.635714285716</v>
      </c>
      <c r="AB26" s="83"/>
      <c r="AC26" s="57">
        <v>8</v>
      </c>
      <c r="AE26" s="84">
        <f t="shared" si="0"/>
        <v>46045</v>
      </c>
      <c r="AF26" s="106" t="s">
        <v>29</v>
      </c>
      <c r="AG26" s="107">
        <v>9</v>
      </c>
      <c r="AH26" s="108" t="s">
        <v>29</v>
      </c>
      <c r="AI26" s="107">
        <v>9</v>
      </c>
      <c r="AJ26" s="118">
        <v>3</v>
      </c>
      <c r="AK26" s="119">
        <v>8.9999999999999964</v>
      </c>
      <c r="AL26" s="126" t="s">
        <v>29</v>
      </c>
      <c r="AM26" s="127">
        <v>8</v>
      </c>
    </row>
    <row r="27" spans="2:40" s="57" customFormat="1" ht="15.95" customHeight="1" x14ac:dyDescent="0.25">
      <c r="B27" s="58">
        <v>46046</v>
      </c>
      <c r="C27" s="91">
        <v>77.708333333333329</v>
      </c>
      <c r="D27" s="92">
        <v>33570</v>
      </c>
      <c r="E27" s="93">
        <v>36184.210526316252</v>
      </c>
      <c r="F27" s="94">
        <v>-2614.2105263162521</v>
      </c>
      <c r="G27" s="95">
        <f>($E$2-(SUM($D$4:$D$27)))/$AG$28</f>
        <v>49465.571428572679</v>
      </c>
      <c r="H27" s="96">
        <v>30</v>
      </c>
      <c r="I27" s="97">
        <v>80</v>
      </c>
      <c r="J27" s="98">
        <v>16.691161003365409</v>
      </c>
      <c r="K27" s="99">
        <v>770.71728167773949</v>
      </c>
      <c r="L27" s="100">
        <v>70.59638398913107</v>
      </c>
      <c r="M27" s="101">
        <v>32332.461120660701</v>
      </c>
      <c r="N27" s="102">
        <v>28947.368421053001</v>
      </c>
      <c r="O27" s="103">
        <v>8</v>
      </c>
      <c r="P27" s="104">
        <v>3385.0926996076996</v>
      </c>
      <c r="Q27" s="101">
        <f>($N$2-(SUM($M$4:$M27)))/O28</f>
        <v>38239.562895334013</v>
      </c>
      <c r="R27" s="128"/>
      <c r="S27" s="109">
        <v>27518</v>
      </c>
      <c r="T27" s="110">
        <v>35106.38297872385</v>
      </c>
      <c r="U27" s="111">
        <v>-7588.3829787238501</v>
      </c>
      <c r="V27" s="129">
        <v>92.433208730991339</v>
      </c>
      <c r="W27" s="130">
        <v>7.41</v>
      </c>
      <c r="X27" s="131">
        <v>35344.44</v>
      </c>
      <c r="Y27" s="132">
        <v>36666.66666666713</v>
      </c>
      <c r="Z27" s="133">
        <v>-1322.2266666671276</v>
      </c>
      <c r="AA27" s="134">
        <v>48529.168333333335</v>
      </c>
      <c r="AB27" s="83"/>
      <c r="AC27" s="57">
        <v>7</v>
      </c>
      <c r="AE27" s="84">
        <f t="shared" si="0"/>
        <v>46046</v>
      </c>
      <c r="AF27" s="106" t="s">
        <v>29</v>
      </c>
      <c r="AG27" s="107">
        <v>8</v>
      </c>
      <c r="AH27" s="108" t="s">
        <v>29</v>
      </c>
      <c r="AI27" s="107">
        <v>8</v>
      </c>
      <c r="AJ27" s="118">
        <v>3</v>
      </c>
      <c r="AK27" s="119">
        <v>7.9999999999999964</v>
      </c>
      <c r="AL27" s="126" t="s">
        <v>29</v>
      </c>
      <c r="AM27" s="127">
        <v>7</v>
      </c>
    </row>
    <row r="28" spans="2:40" s="57" customFormat="1" ht="15.95" customHeight="1" x14ac:dyDescent="0.25">
      <c r="B28" s="58">
        <v>46047</v>
      </c>
      <c r="C28" s="91">
        <v>89.736406730309596</v>
      </c>
      <c r="D28" s="92">
        <v>39577</v>
      </c>
      <c r="E28" s="93">
        <v>36184.210526316252</v>
      </c>
      <c r="F28" s="94">
        <v>3392.7894736837479</v>
      </c>
      <c r="G28" s="95">
        <f>($E$2-(SUM($D$4:$D$28)))/$AG$29</f>
        <v>51113.666666668119</v>
      </c>
      <c r="H28" s="96">
        <v>30.627510928064279</v>
      </c>
      <c r="I28" s="97">
        <v>80</v>
      </c>
      <c r="J28" s="98">
        <v>16.435318564345035</v>
      </c>
      <c r="K28" s="99">
        <v>769.43729743979407</v>
      </c>
      <c r="L28" s="100">
        <v>72.923584966724974</v>
      </c>
      <c r="M28" s="101">
        <v>33789.418934949063</v>
      </c>
      <c r="N28" s="102">
        <v>28947.368421053001</v>
      </c>
      <c r="O28" s="103">
        <v>7</v>
      </c>
      <c r="P28" s="104">
        <v>4842.0505138960616</v>
      </c>
      <c r="Q28" s="101">
        <f>($N$2-(SUM($M$4:$M28)))/O29</f>
        <v>38981.253555398165</v>
      </c>
      <c r="R28" s="128"/>
      <c r="S28" s="109">
        <v>36760</v>
      </c>
      <c r="T28" s="110">
        <v>35106.38297872385</v>
      </c>
      <c r="U28" s="111">
        <v>1653.6170212761499</v>
      </c>
      <c r="V28" s="136">
        <f>SUMPRODUCT($V$22:$V$27,$X$22:$X$27)/SUM($X$22:$X$27)</f>
        <v>95.007744451536553</v>
      </c>
      <c r="W28" s="137">
        <f>SUMPRODUCT($W$22:$W$27,$X$22:$X$27)/SUM($X$22:$X$27)</f>
        <v>7.0945518629588857</v>
      </c>
      <c r="X28" s="138">
        <f>AVERAGE($X$22:$X$27)</f>
        <v>31367.618333333336</v>
      </c>
      <c r="Y28" s="139" t="s">
        <v>30</v>
      </c>
      <c r="Z28" s="81"/>
      <c r="AA28" s="82"/>
      <c r="AB28" s="83"/>
      <c r="AC28" s="57">
        <v>6</v>
      </c>
      <c r="AE28" s="140">
        <f t="shared" si="0"/>
        <v>46047</v>
      </c>
      <c r="AF28" s="106" t="s">
        <v>29</v>
      </c>
      <c r="AG28" s="107">
        <v>7</v>
      </c>
      <c r="AH28" s="108" t="s">
        <v>29</v>
      </c>
      <c r="AI28" s="107">
        <v>7</v>
      </c>
      <c r="AJ28" s="118">
        <v>3</v>
      </c>
      <c r="AK28" s="119">
        <v>6.9999999999999964</v>
      </c>
      <c r="AL28" s="89" t="s">
        <v>31</v>
      </c>
      <c r="AM28" s="90"/>
    </row>
    <row r="29" spans="2:40" s="57" customFormat="1" ht="15.75" customHeight="1" x14ac:dyDescent="0.25">
      <c r="B29" s="58">
        <v>46048</v>
      </c>
      <c r="C29" s="91">
        <v>84.037037037037038</v>
      </c>
      <c r="D29" s="92">
        <v>36304</v>
      </c>
      <c r="E29" s="93">
        <v>36184.210526316252</v>
      </c>
      <c r="F29" s="94">
        <v>119.78947368374793</v>
      </c>
      <c r="G29" s="95">
        <f>($E$2-(SUM($D$4:$D$29)))/$AG$30</f>
        <v>54075.600000001745</v>
      </c>
      <c r="H29" s="96">
        <v>30</v>
      </c>
      <c r="I29" s="97">
        <v>80</v>
      </c>
      <c r="J29" s="98">
        <v>16.28339511815561</v>
      </c>
      <c r="K29" s="99">
        <v>768.16376801786555</v>
      </c>
      <c r="L29" s="100">
        <v>66.806353294596505</v>
      </c>
      <c r="M29" s="101">
        <v>31319.71223442044</v>
      </c>
      <c r="N29" s="102">
        <v>28947.368421053001</v>
      </c>
      <c r="O29" s="103">
        <v>6</v>
      </c>
      <c r="P29" s="104">
        <v>2372.343813367439</v>
      </c>
      <c r="Q29" s="101">
        <f>($N$2-(SUM($M$4:$M29)))/O30</f>
        <v>40513.561819593699</v>
      </c>
      <c r="R29" s="128"/>
      <c r="S29" s="109">
        <v>32556</v>
      </c>
      <c r="T29" s="110">
        <v>35106.38297872385</v>
      </c>
      <c r="U29" s="111">
        <v>-2550.3829787238501</v>
      </c>
      <c r="V29" s="129">
        <v>96.002270692779632</v>
      </c>
      <c r="W29" s="130"/>
      <c r="X29" s="131">
        <v>45801</v>
      </c>
      <c r="Y29" s="132">
        <v>36666.66666666713</v>
      </c>
      <c r="Z29" s="133">
        <v>9134.3333333328701</v>
      </c>
      <c r="AA29" s="134">
        <v>49074.802000000003</v>
      </c>
      <c r="AB29" s="83"/>
      <c r="AC29" s="57">
        <v>5</v>
      </c>
      <c r="AE29" s="84">
        <f t="shared" si="0"/>
        <v>46048</v>
      </c>
      <c r="AF29" s="106" t="s">
        <v>29</v>
      </c>
      <c r="AG29" s="107">
        <v>6</v>
      </c>
      <c r="AH29" s="108" t="s">
        <v>29</v>
      </c>
      <c r="AI29" s="107">
        <v>6</v>
      </c>
      <c r="AJ29" s="118">
        <v>3</v>
      </c>
      <c r="AK29" s="119">
        <v>5.9999999999999964</v>
      </c>
      <c r="AL29" s="126" t="s">
        <v>29</v>
      </c>
      <c r="AM29" s="127">
        <v>6</v>
      </c>
    </row>
    <row r="30" spans="2:40" s="57" customFormat="1" ht="15.95" customHeight="1" x14ac:dyDescent="0.25">
      <c r="B30" s="58">
        <v>46049</v>
      </c>
      <c r="C30" s="91"/>
      <c r="D30" s="92"/>
      <c r="E30" s="93">
        <v>36184.210526316252</v>
      </c>
      <c r="F30" s="94"/>
      <c r="G30" s="95"/>
      <c r="H30" s="96"/>
      <c r="I30" s="97"/>
      <c r="J30" s="98"/>
      <c r="K30" s="99"/>
      <c r="L30" s="100"/>
      <c r="M30" s="101"/>
      <c r="N30" s="102">
        <v>28947.368421053001</v>
      </c>
      <c r="O30" s="103">
        <v>5</v>
      </c>
      <c r="P30" s="104"/>
      <c r="Q30" s="101"/>
      <c r="R30" s="128"/>
      <c r="S30" s="109"/>
      <c r="T30" s="110">
        <v>35106.38297872385</v>
      </c>
      <c r="U30" s="111"/>
      <c r="V30" s="129"/>
      <c r="W30" s="130"/>
      <c r="X30" s="131"/>
      <c r="Y30" s="132">
        <v>36666.66666666713</v>
      </c>
      <c r="Z30" s="133"/>
      <c r="AA30" s="134"/>
      <c r="AB30" s="83"/>
      <c r="AC30" s="57">
        <v>4</v>
      </c>
      <c r="AE30" s="84">
        <f t="shared" si="0"/>
        <v>46049</v>
      </c>
      <c r="AF30" s="106" t="s">
        <v>29</v>
      </c>
      <c r="AG30" s="107">
        <v>5</v>
      </c>
      <c r="AH30" s="108" t="s">
        <v>29</v>
      </c>
      <c r="AI30" s="107">
        <v>5</v>
      </c>
      <c r="AJ30" s="118">
        <v>3</v>
      </c>
      <c r="AK30" s="119">
        <v>4.9999999999999964</v>
      </c>
      <c r="AL30" s="126" t="s">
        <v>29</v>
      </c>
      <c r="AM30" s="127">
        <v>5</v>
      </c>
    </row>
    <row r="31" spans="2:40" s="57" customFormat="1" ht="15.95" customHeight="1" x14ac:dyDescent="0.25">
      <c r="B31" s="58">
        <v>46050</v>
      </c>
      <c r="C31" s="91"/>
      <c r="D31" s="92"/>
      <c r="E31" s="93">
        <v>36184.210526316252</v>
      </c>
      <c r="F31" s="94"/>
      <c r="G31" s="95"/>
      <c r="H31" s="96"/>
      <c r="I31" s="97"/>
      <c r="J31" s="98"/>
      <c r="K31" s="99"/>
      <c r="L31" s="100"/>
      <c r="M31" s="101"/>
      <c r="N31" s="102">
        <v>28947.368421053001</v>
      </c>
      <c r="O31" s="103">
        <v>4</v>
      </c>
      <c r="P31" s="104"/>
      <c r="Q31" s="101"/>
      <c r="R31" s="128"/>
      <c r="S31" s="109"/>
      <c r="T31" s="110">
        <v>35106.38297872385</v>
      </c>
      <c r="U31" s="111"/>
      <c r="V31" s="129"/>
      <c r="W31" s="130"/>
      <c r="X31" s="131"/>
      <c r="Y31" s="132">
        <v>36666.66666666713</v>
      </c>
      <c r="Z31" s="133"/>
      <c r="AA31" s="134"/>
      <c r="AB31" s="83"/>
      <c r="AC31" s="57">
        <v>3</v>
      </c>
      <c r="AE31" s="84">
        <f t="shared" si="0"/>
        <v>46050</v>
      </c>
      <c r="AF31" s="106" t="s">
        <v>29</v>
      </c>
      <c r="AG31" s="107">
        <v>4</v>
      </c>
      <c r="AH31" s="108" t="s">
        <v>29</v>
      </c>
      <c r="AI31" s="107">
        <v>4</v>
      </c>
      <c r="AJ31" s="118">
        <v>3</v>
      </c>
      <c r="AK31" s="119">
        <v>3.9999999999999964</v>
      </c>
      <c r="AL31" s="126" t="s">
        <v>29</v>
      </c>
      <c r="AM31" s="127">
        <v>4</v>
      </c>
    </row>
    <row r="32" spans="2:40" s="57" customFormat="1" ht="15.95" customHeight="1" x14ac:dyDescent="0.25">
      <c r="B32" s="58">
        <v>46051</v>
      </c>
      <c r="C32" s="91"/>
      <c r="D32" s="92"/>
      <c r="E32" s="93">
        <v>36184.210526316252</v>
      </c>
      <c r="F32" s="94"/>
      <c r="G32" s="95"/>
      <c r="H32" s="96"/>
      <c r="I32" s="97"/>
      <c r="J32" s="98"/>
      <c r="K32" s="99"/>
      <c r="L32" s="100"/>
      <c r="M32" s="101"/>
      <c r="N32" s="102">
        <v>28947.368421053001</v>
      </c>
      <c r="O32" s="103">
        <v>3</v>
      </c>
      <c r="P32" s="104"/>
      <c r="Q32" s="101"/>
      <c r="R32" s="128"/>
      <c r="S32" s="109"/>
      <c r="T32" s="110">
        <v>35106.38297872385</v>
      </c>
      <c r="U32" s="111"/>
      <c r="V32" s="129"/>
      <c r="W32" s="130"/>
      <c r="X32" s="131"/>
      <c r="Y32" s="132">
        <v>36666.66666666713</v>
      </c>
      <c r="Z32" s="133"/>
      <c r="AA32" s="134"/>
      <c r="AB32" s="83"/>
      <c r="AC32" s="57">
        <v>2</v>
      </c>
      <c r="AE32" s="84">
        <f t="shared" si="0"/>
        <v>46051</v>
      </c>
      <c r="AF32" s="106" t="s">
        <v>29</v>
      </c>
      <c r="AG32" s="107">
        <v>3</v>
      </c>
      <c r="AH32" s="108" t="s">
        <v>29</v>
      </c>
      <c r="AI32" s="107">
        <v>3</v>
      </c>
      <c r="AJ32" s="118">
        <v>3</v>
      </c>
      <c r="AK32" s="119">
        <v>2.9999999999999964</v>
      </c>
      <c r="AL32" s="126" t="s">
        <v>29</v>
      </c>
      <c r="AM32" s="127">
        <v>3</v>
      </c>
    </row>
    <row r="33" spans="1:39" s="57" customFormat="1" ht="15.75" customHeight="1" x14ac:dyDescent="0.25">
      <c r="B33" s="58">
        <v>46052</v>
      </c>
      <c r="C33" s="91"/>
      <c r="D33" s="92"/>
      <c r="E33" s="93">
        <v>36184.210526316252</v>
      </c>
      <c r="F33" s="94"/>
      <c r="G33" s="95"/>
      <c r="H33" s="96"/>
      <c r="I33" s="97"/>
      <c r="J33" s="98"/>
      <c r="K33" s="99"/>
      <c r="L33" s="100"/>
      <c r="M33" s="101"/>
      <c r="N33" s="102">
        <v>28947.368421053001</v>
      </c>
      <c r="O33" s="103">
        <v>2</v>
      </c>
      <c r="P33" s="104"/>
      <c r="Q33" s="101"/>
      <c r="R33" s="128"/>
      <c r="S33" s="109"/>
      <c r="T33" s="110">
        <v>35106.38297872385</v>
      </c>
      <c r="U33" s="111"/>
      <c r="V33" s="129"/>
      <c r="W33" s="130"/>
      <c r="X33" s="131"/>
      <c r="Y33" s="132">
        <v>36666.66666666713</v>
      </c>
      <c r="Z33" s="133"/>
      <c r="AA33" s="134"/>
      <c r="AB33" s="83"/>
      <c r="AC33" s="57">
        <v>1</v>
      </c>
      <c r="AE33" s="84">
        <f t="shared" si="0"/>
        <v>46052</v>
      </c>
      <c r="AF33" s="106" t="s">
        <v>29</v>
      </c>
      <c r="AG33" s="107">
        <v>2</v>
      </c>
      <c r="AH33" s="108" t="s">
        <v>29</v>
      </c>
      <c r="AI33" s="107">
        <v>2</v>
      </c>
      <c r="AJ33" s="118">
        <v>3</v>
      </c>
      <c r="AK33" s="119">
        <v>1.9999999999999964</v>
      </c>
      <c r="AL33" s="126" t="s">
        <v>29</v>
      </c>
      <c r="AM33" s="127">
        <v>2</v>
      </c>
    </row>
    <row r="34" spans="1:39" s="57" customFormat="1" ht="15.75" customHeight="1" outlineLevel="1" x14ac:dyDescent="0.25">
      <c r="A34" s="142"/>
      <c r="B34" s="58">
        <v>46053</v>
      </c>
      <c r="C34" s="91"/>
      <c r="D34" s="92"/>
      <c r="E34" s="93">
        <v>36184.210526316252</v>
      </c>
      <c r="F34" s="94"/>
      <c r="G34" s="95"/>
      <c r="H34" s="96"/>
      <c r="I34" s="97"/>
      <c r="J34" s="98"/>
      <c r="K34" s="99"/>
      <c r="L34" s="100"/>
      <c r="M34" s="101"/>
      <c r="N34" s="102">
        <v>28947.368421053001</v>
      </c>
      <c r="O34" s="103">
        <v>1</v>
      </c>
      <c r="P34" s="104"/>
      <c r="Q34" s="101"/>
      <c r="R34" s="128"/>
      <c r="S34" s="109"/>
      <c r="T34" s="110">
        <v>35106.38297872385</v>
      </c>
      <c r="U34" s="111"/>
      <c r="V34" s="129"/>
      <c r="W34" s="130"/>
      <c r="X34" s="131"/>
      <c r="Y34" s="132">
        <v>36666.66666666713</v>
      </c>
      <c r="Z34" s="133"/>
      <c r="AA34" s="134"/>
      <c r="AB34" s="83"/>
      <c r="AE34" s="84">
        <f t="shared" si="0"/>
        <v>46053</v>
      </c>
      <c r="AF34" s="106" t="s">
        <v>29</v>
      </c>
      <c r="AG34" s="107">
        <v>1</v>
      </c>
      <c r="AH34" s="108" t="s">
        <v>29</v>
      </c>
      <c r="AI34" s="107">
        <v>1</v>
      </c>
      <c r="AJ34" s="118">
        <v>3</v>
      </c>
      <c r="AK34" s="119">
        <v>0.99999999999999645</v>
      </c>
      <c r="AL34" s="126" t="s">
        <v>29</v>
      </c>
      <c r="AM34" s="127">
        <v>1</v>
      </c>
    </row>
    <row r="35" spans="1:39" s="57" customFormat="1" ht="15.95" customHeight="1" x14ac:dyDescent="0.25">
      <c r="B35" s="142"/>
      <c r="C35" s="143">
        <f>+AVERAGE(C4:C34)</f>
        <v>63.097150728524767</v>
      </c>
      <c r="D35" s="144">
        <f>SUM(D4:D34)</f>
        <v>417122</v>
      </c>
      <c r="E35" s="144">
        <f>SUM(E4:E34)</f>
        <v>687500.00000000861</v>
      </c>
      <c r="F35" s="145">
        <f>SUM(F4:F34)</f>
        <v>-89456.947368427529</v>
      </c>
      <c r="G35" s="146"/>
      <c r="H35" s="147">
        <f>SUMPRODUCT(H4:H34,D4:D34)/D35</f>
        <v>33.16498770143987</v>
      </c>
      <c r="I35" s="148">
        <f>AVERAGE(I4:I34)</f>
        <v>72.357142857142861</v>
      </c>
      <c r="J35" s="149">
        <f>SUMPRODUCT(J4:J34,M4:M34)/M35</f>
        <v>17.203813810060318</v>
      </c>
      <c r="K35" s="148">
        <f>SUMPRODUCT(K4:K34,M4:M34)/M35</f>
        <v>770.08617985911496</v>
      </c>
      <c r="L35" s="150">
        <f>AVERAGE(L4:L34)</f>
        <v>60.450039247479296</v>
      </c>
      <c r="M35" s="144">
        <f>SUM(M4:M34)</f>
        <v>347432.19090203848</v>
      </c>
      <c r="N35" s="144">
        <f>SUM(N4:N34)</f>
        <v>550000.00000000687</v>
      </c>
      <c r="O35" s="145"/>
      <c r="P35" s="145">
        <f>SUM(P4:P34)</f>
        <v>-57830.966992703616</v>
      </c>
      <c r="Q35" s="151"/>
      <c r="R35" s="144">
        <f>SUM(R4:R34)</f>
        <v>202956.63000000003</v>
      </c>
      <c r="S35" s="144">
        <f>SUM(S4:S34)</f>
        <v>358591</v>
      </c>
      <c r="T35" s="144">
        <f>SUM(T4:T34)</f>
        <v>550000.00000000698</v>
      </c>
      <c r="U35" s="152">
        <f>SUM(U4:U33)</f>
        <v>-15877.085106387734</v>
      </c>
      <c r="V35" s="153">
        <v>94.833044284895067</v>
      </c>
      <c r="W35" s="154">
        <v>6.0161201849520456</v>
      </c>
      <c r="X35" s="144">
        <v>304625.99</v>
      </c>
      <c r="Y35" s="155">
        <v>550000.0000000071</v>
      </c>
      <c r="Z35" s="152">
        <v>-62040.676666671272</v>
      </c>
      <c r="AA35" s="154"/>
      <c r="AB35" s="156"/>
      <c r="AE35" s="156"/>
      <c r="AF35" s="156"/>
      <c r="AG35" s="156"/>
      <c r="AH35" s="156"/>
      <c r="AI35" s="156"/>
    </row>
    <row r="36" spans="1:39" x14ac:dyDescent="0.25">
      <c r="W36" t="s">
        <v>32</v>
      </c>
    </row>
    <row r="37" spans="1:39" x14ac:dyDescent="0.25">
      <c r="AA37" s="159"/>
    </row>
    <row r="38" spans="1:39" x14ac:dyDescent="0.25">
      <c r="B38" s="160">
        <v>550000</v>
      </c>
      <c r="D38" s="161"/>
      <c r="Y38" s="162">
        <f>Y35-X35</f>
        <v>245374.01000000711</v>
      </c>
      <c r="AA38" t="e">
        <f>($S$2-(SUM($O$5:O5)))/U6</f>
        <v>#DIV/0!</v>
      </c>
    </row>
    <row r="39" spans="1:39" x14ac:dyDescent="0.25">
      <c r="AB39">
        <v>59345.635000004724</v>
      </c>
    </row>
    <row r="40" spans="1:39" x14ac:dyDescent="0.25">
      <c r="R40" s="159"/>
    </row>
    <row r="41" spans="1:39" x14ac:dyDescent="0.25">
      <c r="AA41" t="e">
        <f>($Y$35-(SUM($X$6:X41)))/AC42</f>
        <v>#DIV/0!</v>
      </c>
    </row>
    <row r="42" spans="1:39" x14ac:dyDescent="0.25">
      <c r="J42" s="163"/>
      <c r="K42" s="163"/>
      <c r="L42" s="164"/>
      <c r="AB42">
        <v>33764.777500002499</v>
      </c>
    </row>
    <row r="43" spans="1:39" x14ac:dyDescent="0.25">
      <c r="J43" s="163"/>
      <c r="K43" s="163"/>
    </row>
    <row r="44" spans="1:39" x14ac:dyDescent="0.25">
      <c r="B44" s="157" t="s">
        <v>33</v>
      </c>
      <c r="C44" s="165"/>
      <c r="U44" s="159">
        <f>S35-X35</f>
        <v>53965.010000000009</v>
      </c>
    </row>
    <row r="45" spans="1:39" x14ac:dyDescent="0.25">
      <c r="B45" s="157" t="s">
        <v>34</v>
      </c>
      <c r="C45" s="165"/>
    </row>
    <row r="46" spans="1:39" x14ac:dyDescent="0.25">
      <c r="B46" s="157" t="s">
        <v>35</v>
      </c>
      <c r="C46" s="165"/>
    </row>
    <row r="47" spans="1:39" x14ac:dyDescent="0.25">
      <c r="B47" s="157" t="s">
        <v>36</v>
      </c>
      <c r="C47" s="165"/>
    </row>
    <row r="48" spans="1:39" x14ac:dyDescent="0.25">
      <c r="B48" s="157" t="s">
        <v>37</v>
      </c>
      <c r="C48" s="165"/>
    </row>
    <row r="49" spans="2:26" x14ac:dyDescent="0.25">
      <c r="B49" s="157" t="s">
        <v>38</v>
      </c>
      <c r="C49" s="165"/>
    </row>
    <row r="50" spans="2:26" x14ac:dyDescent="0.25">
      <c r="B50" s="157" t="s">
        <v>39</v>
      </c>
      <c r="C50" s="165"/>
      <c r="Y50" s="159">
        <v>8132</v>
      </c>
    </row>
    <row r="51" spans="2:26" x14ac:dyDescent="0.25">
      <c r="B51" s="157" t="s">
        <v>40</v>
      </c>
      <c r="C51" s="165"/>
      <c r="Y51" s="159">
        <v>44905.279999999999</v>
      </c>
      <c r="Z51">
        <f>X51-Y51</f>
        <v>-44905.279999999999</v>
      </c>
    </row>
    <row r="52" spans="2:26" x14ac:dyDescent="0.25">
      <c r="B52" s="157" t="s">
        <v>41</v>
      </c>
      <c r="C52" s="165"/>
    </row>
    <row r="53" spans="2:26" x14ac:dyDescent="0.25">
      <c r="B53" s="157" t="s">
        <v>42</v>
      </c>
      <c r="C53" s="165"/>
    </row>
    <row r="54" spans="2:26" x14ac:dyDescent="0.25">
      <c r="B54" s="157" t="s">
        <v>43</v>
      </c>
      <c r="C54" s="165"/>
    </row>
    <row r="55" spans="2:26" x14ac:dyDescent="0.25">
      <c r="B55" s="157" t="s">
        <v>44</v>
      </c>
      <c r="C55" s="165"/>
    </row>
    <row r="56" spans="2:26" x14ac:dyDescent="0.25">
      <c r="B56" s="157" t="s">
        <v>45</v>
      </c>
      <c r="C56" s="165"/>
    </row>
    <row r="57" spans="2:26" x14ac:dyDescent="0.25">
      <c r="B57" s="157" t="s">
        <v>46</v>
      </c>
      <c r="C57" s="165"/>
    </row>
    <row r="58" spans="2:26" x14ac:dyDescent="0.25">
      <c r="B58" s="157" t="s">
        <v>47</v>
      </c>
      <c r="C58" s="165"/>
    </row>
    <row r="59" spans="2:26" x14ac:dyDescent="0.25">
      <c r="B59" s="157" t="s">
        <v>48</v>
      </c>
      <c r="C59" s="165"/>
    </row>
    <row r="60" spans="2:26" x14ac:dyDescent="0.25">
      <c r="B60" s="157" t="s">
        <v>49</v>
      </c>
      <c r="C60" s="165"/>
    </row>
    <row r="61" spans="2:26" x14ac:dyDescent="0.25">
      <c r="B61" s="157" t="s">
        <v>50</v>
      </c>
      <c r="C61" s="165"/>
    </row>
    <row r="62" spans="2:26" x14ac:dyDescent="0.25">
      <c r="B62" s="157" t="s">
        <v>51</v>
      </c>
      <c r="C62" s="165"/>
    </row>
    <row r="63" spans="2:26" x14ac:dyDescent="0.25">
      <c r="B63" s="157" t="s">
        <v>52</v>
      </c>
      <c r="C63" s="165"/>
    </row>
    <row r="64" spans="2:26" x14ac:dyDescent="0.25">
      <c r="B64" s="157" t="s">
        <v>53</v>
      </c>
      <c r="C64" s="165"/>
    </row>
    <row r="65" spans="2:3" x14ac:dyDescent="0.25">
      <c r="B65" s="157" t="s">
        <v>54</v>
      </c>
      <c r="C65" s="165"/>
    </row>
    <row r="66" spans="2:3" x14ac:dyDescent="0.25">
      <c r="B66" s="157" t="s">
        <v>55</v>
      </c>
      <c r="C66" s="165"/>
    </row>
    <row r="67" spans="2:3" x14ac:dyDescent="0.25">
      <c r="B67" s="157" t="s">
        <v>56</v>
      </c>
      <c r="C67" s="165"/>
    </row>
    <row r="68" spans="2:3" x14ac:dyDescent="0.25">
      <c r="B68" s="157" t="s">
        <v>57</v>
      </c>
      <c r="C68" s="165"/>
    </row>
    <row r="69" spans="2:3" x14ac:dyDescent="0.25">
      <c r="B69" s="157" t="s">
        <v>58</v>
      </c>
      <c r="C69" s="165"/>
    </row>
    <row r="70" spans="2:3" x14ac:dyDescent="0.25">
      <c r="B70" s="157" t="s">
        <v>59</v>
      </c>
      <c r="C70" s="165"/>
    </row>
    <row r="71" spans="2:3" x14ac:dyDescent="0.25">
      <c r="B71" s="157" t="s">
        <v>60</v>
      </c>
      <c r="C71" s="165"/>
    </row>
    <row r="72" spans="2:3" x14ac:dyDescent="0.25">
      <c r="B72" s="157" t="s">
        <v>61</v>
      </c>
      <c r="C72" s="165"/>
    </row>
    <row r="73" spans="2:3" x14ac:dyDescent="0.25">
      <c r="B73" s="157" t="s">
        <v>62</v>
      </c>
      <c r="C73" s="165"/>
    </row>
    <row r="74" spans="2:3" x14ac:dyDescent="0.25">
      <c r="B74" s="157" t="s">
        <v>63</v>
      </c>
      <c r="C74" s="165"/>
    </row>
  </sheetData>
  <mergeCells count="3">
    <mergeCell ref="B1:AA1"/>
    <mergeCell ref="AE1:AM1"/>
    <mergeCell ref="Z2:AA2"/>
  </mergeCells>
  <conditionalFormatting sqref="Z35">
    <cfRule type="cellIs" dxfId="57" priority="57" operator="lessThan">
      <formula>0</formula>
    </cfRule>
  </conditionalFormatting>
  <conditionalFormatting sqref="U35">
    <cfRule type="cellIs" dxfId="56" priority="56" operator="lessThan">
      <formula>0</formula>
    </cfRule>
  </conditionalFormatting>
  <conditionalFormatting sqref="C35 C19:D19">
    <cfRule type="cellIs" dxfId="55" priority="58" operator="lessThan">
      <formula>$F$2</formula>
    </cfRule>
  </conditionalFormatting>
  <conditionalFormatting sqref="L19">
    <cfRule type="cellIs" dxfId="54" priority="55" operator="lessThan">
      <formula>88</formula>
    </cfRule>
  </conditionalFormatting>
  <conditionalFormatting sqref="F11:F17 F19">
    <cfRule type="cellIs" dxfId="53" priority="53" operator="lessThan">
      <formula>0</formula>
    </cfRule>
  </conditionalFormatting>
  <conditionalFormatting sqref="C11:D17">
    <cfRule type="cellIs" dxfId="52" priority="54" operator="lessThan">
      <formula>$F$2</formula>
    </cfRule>
  </conditionalFormatting>
  <conditionalFormatting sqref="L11:L17">
    <cfRule type="cellIs" dxfId="51" priority="52" operator="lessThan">
      <formula>88</formula>
    </cfRule>
  </conditionalFormatting>
  <conditionalFormatting sqref="M11:M17 M19">
    <cfRule type="cellIs" dxfId="50" priority="51" operator="lessThan">
      <formula>88</formula>
    </cfRule>
  </conditionalFormatting>
  <conditionalFormatting sqref="P11:P17 P19">
    <cfRule type="cellIs" dxfId="49" priority="50" operator="lessThan">
      <formula>0</formula>
    </cfRule>
  </conditionalFormatting>
  <conditionalFormatting sqref="Q14:Q17 Q19">
    <cfRule type="cellIs" dxfId="48" priority="49" operator="lessThan">
      <formula>88</formula>
    </cfRule>
  </conditionalFormatting>
  <conditionalFormatting sqref="L35">
    <cfRule type="cellIs" dxfId="47" priority="48" operator="lessThan">
      <formula>88</formula>
    </cfRule>
  </conditionalFormatting>
  <conditionalFormatting sqref="F18">
    <cfRule type="cellIs" dxfId="46" priority="46" operator="lessThan">
      <formula>0</formula>
    </cfRule>
  </conditionalFormatting>
  <conditionalFormatting sqref="C18:D18">
    <cfRule type="cellIs" dxfId="45" priority="47" operator="lessThan">
      <formula>$F$2</formula>
    </cfRule>
  </conditionalFormatting>
  <conditionalFormatting sqref="L18">
    <cfRule type="cellIs" dxfId="44" priority="45" operator="lessThan">
      <formula>88</formula>
    </cfRule>
  </conditionalFormatting>
  <conditionalFormatting sqref="M18">
    <cfRule type="cellIs" dxfId="43" priority="44" operator="lessThan">
      <formula>88</formula>
    </cfRule>
  </conditionalFormatting>
  <conditionalFormatting sqref="P18">
    <cfRule type="cellIs" dxfId="42" priority="43" operator="lessThan">
      <formula>0</formula>
    </cfRule>
  </conditionalFormatting>
  <conditionalFormatting sqref="Q18">
    <cfRule type="cellIs" dxfId="41" priority="42" operator="lessThan">
      <formula>88</formula>
    </cfRule>
  </conditionalFormatting>
  <conditionalFormatting sqref="C20:D20">
    <cfRule type="cellIs" dxfId="40" priority="41" operator="lessThan">
      <formula>$F$2</formula>
    </cfRule>
  </conditionalFormatting>
  <conditionalFormatting sqref="L20">
    <cfRule type="cellIs" dxfId="39" priority="40" operator="lessThan">
      <formula>88</formula>
    </cfRule>
  </conditionalFormatting>
  <conditionalFormatting sqref="F20">
    <cfRule type="cellIs" dxfId="38" priority="39" operator="lessThan">
      <formula>0</formula>
    </cfRule>
  </conditionalFormatting>
  <conditionalFormatting sqref="M20">
    <cfRule type="cellIs" dxfId="37" priority="38" operator="lessThan">
      <formula>88</formula>
    </cfRule>
  </conditionalFormatting>
  <conditionalFormatting sqref="P20">
    <cfRule type="cellIs" dxfId="36" priority="37" operator="lessThan">
      <formula>0</formula>
    </cfRule>
  </conditionalFormatting>
  <conditionalFormatting sqref="Q20">
    <cfRule type="cellIs" dxfId="35" priority="36" operator="lessThan">
      <formula>88</formula>
    </cfRule>
  </conditionalFormatting>
  <conditionalFormatting sqref="F5:F10">
    <cfRule type="cellIs" dxfId="34" priority="34" operator="lessThan">
      <formula>0</formula>
    </cfRule>
  </conditionalFormatting>
  <conditionalFormatting sqref="C5:D10">
    <cfRule type="cellIs" dxfId="33" priority="35" operator="lessThan">
      <formula>$F$2</formula>
    </cfRule>
  </conditionalFormatting>
  <conditionalFormatting sqref="L5:L10">
    <cfRule type="cellIs" dxfId="32" priority="33" operator="lessThan">
      <formula>88</formula>
    </cfRule>
  </conditionalFormatting>
  <conditionalFormatting sqref="M5:M10">
    <cfRule type="cellIs" dxfId="31" priority="32" operator="lessThan">
      <formula>88</formula>
    </cfRule>
  </conditionalFormatting>
  <conditionalFormatting sqref="P5:P10">
    <cfRule type="cellIs" dxfId="30" priority="31" operator="lessThan">
      <formula>0</formula>
    </cfRule>
  </conditionalFormatting>
  <conditionalFormatting sqref="C23:D34">
    <cfRule type="cellIs" dxfId="29" priority="30" operator="lessThan">
      <formula>$F$2</formula>
    </cfRule>
  </conditionalFormatting>
  <conditionalFormatting sqref="L23:L34">
    <cfRule type="cellIs" dxfId="28" priority="29" operator="lessThan">
      <formula>88</formula>
    </cfRule>
  </conditionalFormatting>
  <conditionalFormatting sqref="F23:F34">
    <cfRule type="cellIs" dxfId="27" priority="28" operator="lessThan">
      <formula>0</formula>
    </cfRule>
  </conditionalFormatting>
  <conditionalFormatting sqref="M23:M34">
    <cfRule type="cellIs" dxfId="26" priority="27" operator="lessThan">
      <formula>88</formula>
    </cfRule>
  </conditionalFormatting>
  <conditionalFormatting sqref="P23:P34">
    <cfRule type="cellIs" dxfId="25" priority="26" operator="lessThan">
      <formula>0</formula>
    </cfRule>
  </conditionalFormatting>
  <conditionalFormatting sqref="C21:D21">
    <cfRule type="cellIs" dxfId="24" priority="25" operator="lessThan">
      <formula>$F$2</formula>
    </cfRule>
  </conditionalFormatting>
  <conditionalFormatting sqref="L21">
    <cfRule type="cellIs" dxfId="23" priority="24" operator="lessThan">
      <formula>88</formula>
    </cfRule>
  </conditionalFormatting>
  <conditionalFormatting sqref="F21">
    <cfRule type="cellIs" dxfId="22" priority="23" operator="lessThan">
      <formula>0</formula>
    </cfRule>
  </conditionalFormatting>
  <conditionalFormatting sqref="M21">
    <cfRule type="cellIs" dxfId="21" priority="22" operator="lessThan">
      <formula>88</formula>
    </cfRule>
  </conditionalFormatting>
  <conditionalFormatting sqref="P21">
    <cfRule type="cellIs" dxfId="20" priority="21" operator="lessThan">
      <formula>0</formula>
    </cfRule>
  </conditionalFormatting>
  <conditionalFormatting sqref="Q21">
    <cfRule type="cellIs" dxfId="19" priority="20" operator="lessThan">
      <formula>88</formula>
    </cfRule>
  </conditionalFormatting>
  <conditionalFormatting sqref="F4">
    <cfRule type="cellIs" dxfId="18" priority="18" operator="lessThan">
      <formula>0</formula>
    </cfRule>
  </conditionalFormatting>
  <conditionalFormatting sqref="C4:D4">
    <cfRule type="cellIs" dxfId="17" priority="19" operator="lessThan">
      <formula>$F$2</formula>
    </cfRule>
  </conditionalFormatting>
  <conditionalFormatting sqref="L4">
    <cfRule type="cellIs" dxfId="16" priority="17" operator="lessThan">
      <formula>88</formula>
    </cfRule>
  </conditionalFormatting>
  <conditionalFormatting sqref="M4">
    <cfRule type="cellIs" dxfId="15" priority="16" operator="lessThan">
      <formula>88</formula>
    </cfRule>
  </conditionalFormatting>
  <conditionalFormatting sqref="P4">
    <cfRule type="cellIs" dxfId="14" priority="15" operator="lessThan">
      <formula>0</formula>
    </cfRule>
  </conditionalFormatting>
  <conditionalFormatting sqref="C22:D22">
    <cfRule type="cellIs" dxfId="13" priority="14" operator="lessThan">
      <formula>$F$2</formula>
    </cfRule>
  </conditionalFormatting>
  <conditionalFormatting sqref="L22">
    <cfRule type="cellIs" dxfId="12" priority="13" operator="lessThan">
      <formula>88</formula>
    </cfRule>
  </conditionalFormatting>
  <conditionalFormatting sqref="F22">
    <cfRule type="cellIs" dxfId="11" priority="12" operator="lessThan">
      <formula>0</formula>
    </cfRule>
  </conditionalFormatting>
  <conditionalFormatting sqref="M22">
    <cfRule type="cellIs" dxfId="10" priority="11" operator="lessThan">
      <formula>88</formula>
    </cfRule>
  </conditionalFormatting>
  <conditionalFormatting sqref="P22">
    <cfRule type="cellIs" dxfId="9" priority="10" operator="lessThan">
      <formula>0</formula>
    </cfRule>
  </conditionalFormatting>
  <conditionalFormatting sqref="Q22:Q34">
    <cfRule type="cellIs" dxfId="8" priority="9" operator="lessThan">
      <formula>88</formula>
    </cfRule>
  </conditionalFormatting>
  <conditionalFormatting sqref="V4:V5">
    <cfRule type="cellIs" dxfId="7" priority="8" operator="lessThan">
      <formula>0.955</formula>
    </cfRule>
  </conditionalFormatting>
  <conditionalFormatting sqref="V4:V5">
    <cfRule type="cellIs" dxfId="6" priority="7" operator="lessThan">
      <formula>0.955</formula>
    </cfRule>
  </conditionalFormatting>
  <conditionalFormatting sqref="V4:V5">
    <cfRule type="cellIs" dxfId="5" priority="6" operator="lessThan">
      <formula>0.955</formula>
    </cfRule>
  </conditionalFormatting>
  <conditionalFormatting sqref="V4:V5">
    <cfRule type="cellIs" dxfId="4" priority="5" operator="lessThan">
      <formula>0.955</formula>
    </cfRule>
  </conditionalFormatting>
  <conditionalFormatting sqref="V6:V34">
    <cfRule type="cellIs" dxfId="3" priority="4" operator="lessThan">
      <formula>0.955</formula>
    </cfRule>
  </conditionalFormatting>
  <conditionalFormatting sqref="V6:V34">
    <cfRule type="cellIs" dxfId="2" priority="3" operator="lessThan">
      <formula>0.955</formula>
    </cfRule>
  </conditionalFormatting>
  <conditionalFormatting sqref="V6:V34">
    <cfRule type="cellIs" dxfId="1" priority="2" operator="lessThan">
      <formula>0.955</formula>
    </cfRule>
  </conditionalFormatting>
  <conditionalFormatting sqref="V6:V34">
    <cfRule type="cellIs" dxfId="0" priority="1" operator="lessThan">
      <formula>0.955</formula>
    </cfRule>
  </conditionalFormatting>
  <printOptions horizontalCentered="1" verticalCentered="1"/>
  <pageMargins left="0" right="0" top="0" bottom="0" header="0.51180555555555496" footer="0.51180555555555496"/>
  <pageSetup paperSize="9" scale="62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Produccion STC</vt:lpstr>
      <vt:lpstr>'Produccion STC'!Área_de_impresión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2026-02-28T20:52:20Z</dcterms:created>
  <dcterms:modified xsi:type="dcterms:W3CDTF">2026-02-28T20:53:22Z</dcterms:modified>
</cp:coreProperties>
</file>