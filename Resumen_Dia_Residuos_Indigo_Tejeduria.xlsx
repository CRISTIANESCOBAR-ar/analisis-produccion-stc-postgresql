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isis-produccion-stc\"/>
    </mc:Choice>
  </mc:AlternateContent>
  <xr:revisionPtr revIDLastSave="0" documentId="8_{F6FF7054-4497-4424-B4A0-419D4D029562}" xr6:coauthVersionLast="47" xr6:coauthVersionMax="47" xr10:uidLastSave="{00000000-0000-0000-0000-000000000000}"/>
  <bookViews>
    <workbookView xWindow="-120" yWindow="-120" windowWidth="20730" windowHeight="11040" xr2:uid="{D3A405EA-7632-4AD7-BBEE-A1702700A209}"/>
  </bookViews>
  <sheets>
    <sheet name="Resumen Día" sheetId="1" r:id="rId1"/>
  </sheets>
  <externalReferences>
    <externalReference r:id="rId2"/>
  </externalReferences>
  <definedNames>
    <definedName name="_xlnm.Print_Area" localSheetId="0">'Resumen Día'!$B$2:$W$38</definedName>
    <definedName name="Art">#REF!</definedName>
    <definedName name="Articulo_Nombre_1">"$#REF!.$B$4:$C$18"</definedName>
    <definedName name="Articulo_Nombre_15">#REF!</definedName>
    <definedName name="Articulo_Nombre_6">"$#REF!.$B$9:$D$50"</definedName>
    <definedName name="Articulo_Nombre_8">"$#REF!.$B$11:$C$22"</definedName>
    <definedName name="Articulos">#REF!</definedName>
    <definedName name="Articulos_1">"$#REF!.$B$4:$B$19"</definedName>
    <definedName name="Articulos_15">#REF!</definedName>
    <definedName name="Articulos_6">"$#REF!.$K$9:$K$57"</definedName>
    <definedName name="Artiuclos">[1]!Tabla16[Articulo]</definedName>
    <definedName name="Eficiencias">[1]Menu!$J$83:$J$86</definedName>
    <definedName name="Elegir">[1]Menu!$J$65:$J$66</definedName>
    <definedName name="Excel_BuiltIn_Print_Area_2">"$#REF!.$B$2:$H$56"</definedName>
    <definedName name="logo">#REF!</definedName>
    <definedName name="Ordenar">[1]Menu!$K$83:$K$86</definedName>
    <definedName name="Tipos_Tramas">"$#REF!.$B$3:$B$11"</definedName>
    <definedName name="Tramas">"$#REF!.$D$3:$D$12"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8" i="1" l="1"/>
  <c r="Z38" i="1"/>
  <c r="Y38" i="1"/>
  <c r="V38" i="1"/>
  <c r="T38" i="1"/>
  <c r="S38" i="1"/>
  <c r="R38" i="1"/>
  <c r="Q38" i="1"/>
  <c r="P38" i="1"/>
  <c r="M38" i="1"/>
  <c r="L38" i="1"/>
  <c r="N38" i="1" s="1"/>
  <c r="K38" i="1"/>
  <c r="J38" i="1"/>
  <c r="I38" i="1"/>
  <c r="H38" i="1"/>
  <c r="E38" i="1"/>
  <c r="F38" i="1" s="1"/>
  <c r="D38" i="1"/>
  <c r="C38" i="1"/>
  <c r="U25" i="1"/>
  <c r="W25" i="1" s="1"/>
  <c r="W23" i="1"/>
  <c r="U23" i="1"/>
  <c r="W22" i="1"/>
  <c r="U22" i="1"/>
  <c r="U21" i="1"/>
  <c r="W21" i="1" s="1"/>
  <c r="U20" i="1"/>
  <c r="W20" i="1" s="1"/>
  <c r="U19" i="1"/>
  <c r="W19" i="1" s="1"/>
  <c r="U18" i="1"/>
  <c r="W18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7" i="1"/>
  <c r="U38" i="1" l="1"/>
  <c r="W38" i="1" s="1"/>
</calcChain>
</file>

<file path=xl/sharedStrings.xml><?xml version="1.0" encoding="utf-8"?>
<sst xmlns="http://schemas.openxmlformats.org/spreadsheetml/2006/main" count="31" uniqueCount="23">
  <si>
    <t>SANTANA TEXTIL CHACO S.A. - UNIDAD V</t>
  </si>
  <si>
    <t>Mes</t>
  </si>
  <si>
    <t>"SEGUIMIENTO de RESIDUOS ESTOPA TEÑIDA de ÍNDIGO y TEJEDURÍA"</t>
  </si>
  <si>
    <t>ÍNDIGO</t>
  </si>
  <si>
    <t>TEJEDURÍA</t>
  </si>
  <si>
    <t>BALANCE</t>
  </si>
  <si>
    <t>kg ENVIADOS A PRENSA</t>
  </si>
  <si>
    <t>Fecha</t>
  </si>
  <si>
    <t>Producción Metros</t>
  </si>
  <si>
    <t>Producción Kg</t>
  </si>
  <si>
    <t>Residuos Kg</t>
  </si>
  <si>
    <t>Resid en %</t>
  </si>
  <si>
    <t>Meta %</t>
  </si>
  <si>
    <t>Desvió en Kg</t>
  </si>
  <si>
    <t>Desvió en Metros</t>
  </si>
  <si>
    <t>Desvió en $</t>
  </si>
  <si>
    <t>Cant. Anudados</t>
  </si>
  <si>
    <t>Prom. x Anudado</t>
  </si>
  <si>
    <t>ESTOPA AZUL PRODUCIDA</t>
  </si>
  <si>
    <t>ESTOPA AZUL PRENSADA</t>
  </si>
  <si>
    <t>Diferencia</t>
  </si>
  <si>
    <t xml:space="preserve">INDIGO </t>
  </si>
  <si>
    <t>TEJEDURIA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</si>
</sst>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-yy"/>
    <numFmt numFmtId="165" formatCode="#,##0.0"/>
    <numFmt numFmtId="166" formatCode="[$$-2C0A]\ #,##0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Tahom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A7E6C"/>
        <bgColor indexed="64"/>
      </patternFill>
    </fill>
    <fill>
      <patternFill patternType="solid">
        <fgColor rgb="FFF4BFB6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auto="1"/>
      </left>
      <right style="thin">
        <color auto="1"/>
      </right>
      <top style="thin">
        <color theme="4" tint="-0.499984740745262"/>
      </top>
      <bottom/>
      <diagonal/>
    </border>
    <border>
      <left style="thin">
        <color auto="1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thin">
        <color auto="1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auto="1"/>
      </right>
      <top/>
      <bottom style="medium">
        <color theme="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auto="1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/>
      <diagonal/>
    </border>
    <border>
      <left/>
      <right style="thin">
        <color theme="4" tint="-0.499984740745262"/>
      </right>
      <top style="medium">
        <color theme="0"/>
      </top>
      <bottom/>
      <diagonal/>
    </border>
    <border>
      <left style="thin">
        <color theme="4" tint="-0.499984740745262"/>
      </left>
      <right/>
      <top style="medium">
        <color theme="0"/>
      </top>
      <bottom/>
      <diagonal/>
    </border>
    <border>
      <left style="thin">
        <color theme="4" tint="-0.499984740745262"/>
      </left>
      <right/>
      <top style="double">
        <color auto="1"/>
      </top>
      <bottom style="thin">
        <color theme="4" tint="-0.499984740745262"/>
      </bottom>
      <diagonal/>
    </border>
    <border>
      <left style="thin">
        <color auto="1"/>
      </left>
      <right/>
      <top style="double">
        <color auto="1"/>
      </top>
      <bottom style="thin">
        <color theme="4" tint="-0.499984740745262"/>
      </bottom>
      <diagonal/>
    </border>
    <border>
      <left/>
      <right/>
      <top style="double">
        <color auto="1"/>
      </top>
      <bottom style="thin">
        <color theme="4" tint="-0.499984740745262"/>
      </bottom>
      <diagonal/>
    </border>
    <border>
      <left/>
      <right style="thin">
        <color auto="1"/>
      </right>
      <top style="double">
        <color auto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double">
        <color auto="1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70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Continuous" vertical="center"/>
    </xf>
    <xf numFmtId="14" fontId="1" fillId="0" borderId="5" xfId="0" applyNumberFormat="1" applyFont="1" applyBorder="1" applyAlignment="1">
      <alignment horizontal="centerContinuous" vertical="center"/>
    </xf>
    <xf numFmtId="14" fontId="1" fillId="0" borderId="6" xfId="0" applyNumberFormat="1" applyFont="1" applyBorder="1" applyAlignment="1">
      <alignment horizontal="centerContinuous" vertical="center"/>
    </xf>
    <xf numFmtId="14" fontId="1" fillId="0" borderId="7" xfId="0" applyNumberFormat="1" applyFont="1" applyBorder="1" applyAlignment="1">
      <alignment horizontal="centerContinuous" vertical="center"/>
    </xf>
    <xf numFmtId="0" fontId="3" fillId="0" borderId="5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14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4" fillId="2" borderId="10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3" fontId="5" fillId="3" borderId="13" xfId="0" applyNumberFormat="1" applyFont="1" applyFill="1" applyBorder="1" applyAlignment="1">
      <alignment horizontal="center" vertical="center" wrapText="1"/>
    </xf>
    <xf numFmtId="3" fontId="5" fillId="3" borderId="14" xfId="0" applyNumberFormat="1" applyFont="1" applyFill="1" applyBorder="1" applyAlignment="1">
      <alignment horizontal="center" vertical="center" wrapText="1"/>
    </xf>
    <xf numFmtId="165" fontId="5" fillId="3" borderId="14" xfId="0" applyNumberFormat="1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66" fontId="5" fillId="3" borderId="15" xfId="0" applyNumberFormat="1" applyFont="1" applyFill="1" applyBorder="1" applyAlignment="1">
      <alignment horizontal="center" vertical="center" wrapText="1"/>
    </xf>
    <xf numFmtId="166" fontId="5" fillId="3" borderId="16" xfId="0" applyNumberFormat="1" applyFont="1" applyFill="1" applyBorder="1" applyAlignment="1">
      <alignment horizontal="center" vertical="center" wrapText="1"/>
    </xf>
    <xf numFmtId="3" fontId="5" fillId="3" borderId="17" xfId="0" applyNumberFormat="1" applyFont="1" applyFill="1" applyBorder="1" applyAlignment="1">
      <alignment horizontal="center" vertical="center" wrapText="1"/>
    </xf>
    <xf numFmtId="3" fontId="5" fillId="3" borderId="1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10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6" fontId="5" fillId="3" borderId="10" xfId="0" applyNumberFormat="1" applyFont="1" applyFill="1" applyBorder="1" applyAlignment="1">
      <alignment horizontal="center" vertical="center" wrapText="1"/>
    </xf>
    <xf numFmtId="166" fontId="5" fillId="3" borderId="11" xfId="0" applyNumberFormat="1" applyFont="1" applyFill="1" applyBorder="1" applyAlignment="1">
      <alignment horizontal="center" vertical="center" wrapText="1"/>
    </xf>
    <xf numFmtId="3" fontId="5" fillId="3" borderId="12" xfId="0" applyNumberFormat="1" applyFont="1" applyFill="1" applyBorder="1" applyAlignment="1">
      <alignment horizontal="center" vertical="center" wrapText="1"/>
    </xf>
    <xf numFmtId="3" fontId="5" fillId="3" borderId="11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 wrapText="1"/>
    </xf>
    <xf numFmtId="14" fontId="3" fillId="0" borderId="18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167" fontId="3" fillId="0" borderId="2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6" fillId="4" borderId="20" xfId="0" applyNumberFormat="1" applyFont="1" applyFill="1" applyBorder="1" applyAlignment="1">
      <alignment horizontal="center" vertical="center"/>
    </xf>
    <xf numFmtId="166" fontId="3" fillId="0" borderId="21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6" fontId="3" fillId="0" borderId="22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285750</xdr:colOff>
      <xdr:row>1</xdr:row>
      <xdr:rowOff>55788</xdr:rowOff>
    </xdr:from>
    <xdr:to>
      <xdr:col>1</xdr:col>
      <xdr:colOff>618374</xdr:colOff>
      <xdr:row>2</xdr:row>
      <xdr:rowOff>170088</xdr:rowOff>
    </xdr:to>
    <xdr:pic>
      <xdr:nvPicPr>
        <xdr:cNvPr id="2" name="1 Imagen" descr="Logo_Santana_Textiles.png">
          <a:extLst>
            <a:ext uri="{FF2B5EF4-FFF2-40B4-BE49-F238E27FC236}">
              <a16:creationId xmlns:a16="http://schemas.microsoft.com/office/drawing/2014/main" id="{E8095448-818D-4A02-9E73-C5DB88713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112938"/>
          <a:ext cx="332624" cy="361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atextil-my.sharepoint.com/personal/cteodoro_santanatextiles_com/Documents/2026/01%20-%20Enero/Residuos_Enero_2026.xlsm" TargetMode="External"/><Relationship Id="rId1" Type="http://schemas.openxmlformats.org/officeDocument/2006/relationships/externalLinkPath" Target="https://santanatextil-my.sharepoint.com/personal/cteodoro_santanatextiles_com/Documents/2026/01%20-%20Enero/Residuos_Enero_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Hoja6"/>
      <sheetName val="Resumen Día"/>
      <sheetName val="Hoja1"/>
      <sheetName val="Datos INDIGO x Día"/>
      <sheetName val="Roladas MES"/>
      <sheetName val="Estiraje Roladas MES"/>
      <sheetName val="Control Estiraje"/>
      <sheetName val="Hoja3"/>
      <sheetName val="Hoja4"/>
      <sheetName val="Articulos En Producción"/>
      <sheetName val="Urdidora"/>
      <sheetName val="Hoja2"/>
      <sheetName val="Indigo"/>
      <sheetName val="Tejeduria"/>
      <sheetName val="Calidad"/>
      <sheetName val="Partida En Tejeduria Old"/>
      <sheetName val="Reporte Indigo"/>
      <sheetName val="Partida En Tejeduria"/>
      <sheetName val="Hoja5"/>
      <sheetName val="Eficiencia y Calidad x Partida"/>
      <sheetName val="Rupturas URDIDORA"/>
    </sheetNames>
    <sheetDataSet>
      <sheetData sheetId="0">
        <row r="31">
          <cell r="D31">
            <v>46023</v>
          </cell>
        </row>
        <row r="65">
          <cell r="J65" t="str">
            <v>Sí</v>
          </cell>
        </row>
        <row r="66">
          <cell r="J66" t="str">
            <v>No</v>
          </cell>
        </row>
        <row r="83">
          <cell r="J83" t="str">
            <v>A</v>
          </cell>
          <cell r="K83" t="str">
            <v>Telar</v>
          </cell>
        </row>
        <row r="84">
          <cell r="J84" t="str">
            <v>B</v>
          </cell>
          <cell r="K84" t="str">
            <v>Caída</v>
          </cell>
        </row>
        <row r="85">
          <cell r="J85" t="str">
            <v>C</v>
          </cell>
          <cell r="K85" t="str">
            <v>Grupo</v>
          </cell>
        </row>
        <row r="86">
          <cell r="J86" t="str">
            <v>Día</v>
          </cell>
          <cell r="K86" t="str">
            <v>Articulo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9186-EBAE-4389-9901-AB6C07FAB638}">
  <sheetPr codeName="Hoja1">
    <pageSetUpPr fitToPage="1"/>
  </sheetPr>
  <dimension ref="B1:AA38"/>
  <sheetViews>
    <sheetView showGridLines="0" tabSelected="1" zoomScaleNormal="100" workbookViewId="0">
      <selection sqref="A1:AB39"/>
    </sheetView>
  </sheetViews>
  <sheetFormatPr baseColWidth="10" defaultRowHeight="12.75" x14ac:dyDescent="0.25"/>
  <cols>
    <col min="1" max="1" width="0.85546875" style="2" customWidth="1"/>
    <col min="2" max="2" width="14.140625" style="2" customWidth="1"/>
    <col min="3" max="3" width="13.28515625" style="2" customWidth="1"/>
    <col min="4" max="4" width="11.42578125" style="2"/>
    <col min="5" max="5" width="8.7109375" style="2" customWidth="1"/>
    <col min="6" max="7" width="5.7109375" style="2" customWidth="1"/>
    <col min="8" max="8" width="8.42578125" style="2" customWidth="1"/>
    <col min="9" max="9" width="9.28515625" style="2" customWidth="1"/>
    <col min="10" max="10" width="14.85546875" style="2" customWidth="1"/>
    <col min="11" max="11" width="11.7109375" style="2" bestFit="1" customWidth="1"/>
    <col min="12" max="12" width="11.42578125" style="2" customWidth="1"/>
    <col min="13" max="13" width="8.7109375" style="2" customWidth="1"/>
    <col min="14" max="15" width="5.7109375" style="2" customWidth="1"/>
    <col min="16" max="16" width="8.42578125" style="2" customWidth="1"/>
    <col min="17" max="17" width="9.28515625" style="2" customWidth="1"/>
    <col min="18" max="18" width="7.7109375" style="2" customWidth="1"/>
    <col min="19" max="19" width="8.7109375" style="2" customWidth="1"/>
    <col min="20" max="20" width="14.7109375" style="2" customWidth="1"/>
    <col min="21" max="22" width="12.7109375" style="2" customWidth="1"/>
    <col min="23" max="23" width="10.28515625" style="2" customWidth="1"/>
    <col min="24" max="25" width="0.85546875" style="2" customWidth="1"/>
    <col min="26" max="27" width="12.7109375" style="2" customWidth="1"/>
    <col min="28" max="16384" width="11.42578125" style="2"/>
  </cols>
  <sheetData>
    <row r="1" spans="2:27" ht="4.5" customHeight="1" x14ac:dyDescent="0.25">
      <c r="B1" s="1"/>
      <c r="C1" s="1"/>
      <c r="F1" s="1"/>
      <c r="I1" s="1"/>
      <c r="J1" s="1"/>
    </row>
    <row r="2" spans="2:27" ht="20.100000000000001" customHeight="1" x14ac:dyDescent="0.25">
      <c r="B2" s="3"/>
      <c r="C2" s="4" t="s">
        <v>0</v>
      </c>
      <c r="D2" s="5"/>
      <c r="E2" s="5"/>
      <c r="F2" s="4"/>
      <c r="G2" s="5"/>
      <c r="H2" s="5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6" t="s">
        <v>1</v>
      </c>
      <c r="V2" s="6"/>
      <c r="W2" s="6"/>
    </row>
    <row r="3" spans="2:27" ht="20.100000000000001" customHeight="1" x14ac:dyDescent="0.25">
      <c r="B3" s="3"/>
      <c r="C3" s="3" t="s">
        <v>2</v>
      </c>
      <c r="D3" s="6"/>
      <c r="E3" s="6"/>
      <c r="F3" s="3"/>
      <c r="G3" s="6"/>
      <c r="H3" s="6"/>
      <c r="I3" s="3"/>
      <c r="J3" s="3"/>
      <c r="K3" s="6"/>
      <c r="L3" s="6"/>
      <c r="M3" s="6"/>
      <c r="N3" s="6"/>
      <c r="O3" s="6"/>
      <c r="P3" s="6"/>
      <c r="Q3" s="6"/>
      <c r="R3" s="6"/>
      <c r="S3" s="6"/>
      <c r="T3" s="6"/>
      <c r="U3" s="7">
        <v>46041</v>
      </c>
      <c r="V3" s="7"/>
      <c r="W3" s="7"/>
    </row>
    <row r="5" spans="2:27" ht="20.100000000000001" customHeight="1" x14ac:dyDescent="0.25">
      <c r="B5" s="8">
        <v>932.15</v>
      </c>
      <c r="C5" s="9" t="s">
        <v>3</v>
      </c>
      <c r="D5" s="10"/>
      <c r="E5" s="11"/>
      <c r="F5" s="12"/>
      <c r="G5" s="11"/>
      <c r="H5" s="11"/>
      <c r="I5" s="13"/>
      <c r="J5" s="14"/>
      <c r="K5" s="15" t="s">
        <v>4</v>
      </c>
      <c r="L5" s="15"/>
      <c r="M5" s="11"/>
      <c r="N5" s="11"/>
      <c r="O5" s="11"/>
      <c r="P5" s="11"/>
      <c r="Q5" s="11"/>
      <c r="R5" s="11"/>
      <c r="S5" s="11"/>
      <c r="T5" s="16"/>
      <c r="U5" s="17" t="s">
        <v>5</v>
      </c>
      <c r="V5" s="18"/>
      <c r="W5" s="19"/>
      <c r="Z5" s="20" t="s">
        <v>6</v>
      </c>
      <c r="AA5" s="21"/>
    </row>
    <row r="6" spans="2:27" s="29" customFormat="1" ht="39.950000000000003" customHeight="1" thickBot="1" x14ac:dyDescent="0.3">
      <c r="B6" s="22" t="s">
        <v>7</v>
      </c>
      <c r="C6" s="23" t="s">
        <v>8</v>
      </c>
      <c r="D6" s="24" t="s">
        <v>9</v>
      </c>
      <c r="E6" s="24" t="s">
        <v>10</v>
      </c>
      <c r="F6" s="25" t="s">
        <v>11</v>
      </c>
      <c r="G6" s="24" t="s">
        <v>12</v>
      </c>
      <c r="H6" s="24" t="s">
        <v>13</v>
      </c>
      <c r="I6" s="25" t="s">
        <v>14</v>
      </c>
      <c r="J6" s="26" t="s">
        <v>15</v>
      </c>
      <c r="K6" s="24" t="s">
        <v>8</v>
      </c>
      <c r="L6" s="24" t="s">
        <v>9</v>
      </c>
      <c r="M6" s="24" t="s">
        <v>10</v>
      </c>
      <c r="N6" s="24" t="s">
        <v>11</v>
      </c>
      <c r="O6" s="24" t="s">
        <v>12</v>
      </c>
      <c r="P6" s="24" t="s">
        <v>13</v>
      </c>
      <c r="Q6" s="24" t="s">
        <v>14</v>
      </c>
      <c r="R6" s="24" t="s">
        <v>16</v>
      </c>
      <c r="S6" s="24" t="s">
        <v>17</v>
      </c>
      <c r="T6" s="27" t="s">
        <v>15</v>
      </c>
      <c r="U6" s="28" t="s">
        <v>18</v>
      </c>
      <c r="V6" s="24" t="s">
        <v>19</v>
      </c>
      <c r="W6" s="27" t="s">
        <v>20</v>
      </c>
      <c r="Z6" s="28" t="s">
        <v>21</v>
      </c>
      <c r="AA6" s="27" t="s">
        <v>22</v>
      </c>
    </row>
    <row r="7" spans="2:27" s="39" customFormat="1" ht="20.100000000000001" customHeight="1" x14ac:dyDescent="0.25">
      <c r="B7" s="30">
        <f>+[1]Menu!D31</f>
        <v>46023</v>
      </c>
      <c r="C7" s="31"/>
      <c r="D7" s="32"/>
      <c r="E7" s="32"/>
      <c r="F7" s="33"/>
      <c r="G7" s="34"/>
      <c r="H7" s="32"/>
      <c r="I7" s="32"/>
      <c r="J7" s="35"/>
      <c r="K7" s="32"/>
      <c r="L7" s="32"/>
      <c r="M7" s="32"/>
      <c r="N7" s="33"/>
      <c r="O7" s="34"/>
      <c r="P7" s="32"/>
      <c r="Q7" s="32"/>
      <c r="R7" s="32"/>
      <c r="S7" s="32"/>
      <c r="T7" s="36"/>
      <c r="U7" s="37"/>
      <c r="V7" s="32"/>
      <c r="W7" s="38"/>
      <c r="Z7" s="37"/>
      <c r="AA7" s="38"/>
    </row>
    <row r="8" spans="2:27" s="39" customFormat="1" ht="20.100000000000001" customHeight="1" x14ac:dyDescent="0.25">
      <c r="B8" s="40">
        <f>+B7+1</f>
        <v>46024</v>
      </c>
      <c r="C8" s="41"/>
      <c r="D8" s="42"/>
      <c r="E8" s="42"/>
      <c r="F8" s="43"/>
      <c r="H8" s="42"/>
      <c r="I8" s="42"/>
      <c r="J8" s="44"/>
      <c r="K8" s="42"/>
      <c r="L8" s="42"/>
      <c r="M8" s="42"/>
      <c r="N8" s="43"/>
      <c r="P8" s="42"/>
      <c r="Q8" s="42"/>
      <c r="R8" s="42"/>
      <c r="S8" s="42"/>
      <c r="T8" s="45"/>
      <c r="U8" s="46"/>
      <c r="V8" s="42"/>
      <c r="W8" s="47"/>
      <c r="Z8" s="46"/>
      <c r="AA8" s="47"/>
    </row>
    <row r="9" spans="2:27" s="39" customFormat="1" ht="20.100000000000001" customHeight="1" x14ac:dyDescent="0.25">
      <c r="B9" s="30">
        <f t="shared" ref="B9:B37" si="0">+B8+1</f>
        <v>46025</v>
      </c>
      <c r="C9" s="48"/>
      <c r="D9" s="49"/>
      <c r="E9" s="49"/>
      <c r="F9" s="50"/>
      <c r="G9" s="51"/>
      <c r="H9" s="49"/>
      <c r="I9" s="49"/>
      <c r="J9" s="52"/>
      <c r="K9" s="49"/>
      <c r="L9" s="49"/>
      <c r="M9" s="49"/>
      <c r="N9" s="50"/>
      <c r="O9" s="51"/>
      <c r="P9" s="49"/>
      <c r="Q9" s="49"/>
      <c r="R9" s="49"/>
      <c r="S9" s="49"/>
      <c r="T9" s="53"/>
      <c r="U9" s="54"/>
      <c r="V9" s="49"/>
      <c r="W9" s="55"/>
      <c r="Z9" s="54"/>
      <c r="AA9" s="55"/>
    </row>
    <row r="10" spans="2:27" s="39" customFormat="1" ht="20.100000000000001" customHeight="1" x14ac:dyDescent="0.25">
      <c r="B10" s="40">
        <f t="shared" si="0"/>
        <v>46026</v>
      </c>
      <c r="C10" s="41"/>
      <c r="D10" s="42"/>
      <c r="E10" s="42"/>
      <c r="F10" s="43"/>
      <c r="H10" s="42"/>
      <c r="I10" s="42"/>
      <c r="J10" s="44"/>
      <c r="K10" s="42"/>
      <c r="L10" s="42"/>
      <c r="M10" s="42"/>
      <c r="N10" s="43"/>
      <c r="P10" s="42"/>
      <c r="Q10" s="42"/>
      <c r="R10" s="42"/>
      <c r="S10" s="42"/>
      <c r="T10" s="45"/>
      <c r="U10" s="46"/>
      <c r="V10" s="42"/>
      <c r="W10" s="47"/>
      <c r="Z10" s="46"/>
      <c r="AA10" s="47"/>
    </row>
    <row r="11" spans="2:27" s="39" customFormat="1" ht="20.100000000000001" customHeight="1" x14ac:dyDescent="0.25">
      <c r="B11" s="30">
        <f t="shared" si="0"/>
        <v>46027</v>
      </c>
      <c r="C11" s="48"/>
      <c r="D11" s="49"/>
      <c r="E11" s="49"/>
      <c r="F11" s="50"/>
      <c r="G11" s="51"/>
      <c r="H11" s="49"/>
      <c r="I11" s="49"/>
      <c r="J11" s="52"/>
      <c r="K11" s="49"/>
      <c r="L11" s="49"/>
      <c r="M11" s="49"/>
      <c r="N11" s="50"/>
      <c r="O11" s="51"/>
      <c r="P11" s="49"/>
      <c r="Q11" s="49"/>
      <c r="R11" s="49"/>
      <c r="S11" s="49"/>
      <c r="T11" s="53"/>
      <c r="U11" s="54"/>
      <c r="V11" s="49"/>
      <c r="W11" s="55"/>
      <c r="Z11" s="54"/>
      <c r="AA11" s="55"/>
    </row>
    <row r="12" spans="2:27" s="39" customFormat="1" ht="20.100000000000001" customHeight="1" x14ac:dyDescent="0.25">
      <c r="B12" s="40">
        <f t="shared" si="0"/>
        <v>46028</v>
      </c>
      <c r="C12" s="41"/>
      <c r="D12" s="42"/>
      <c r="E12" s="42"/>
      <c r="F12" s="43"/>
      <c r="H12" s="42"/>
      <c r="I12" s="42"/>
      <c r="J12" s="44"/>
      <c r="K12" s="42"/>
      <c r="L12" s="42"/>
      <c r="M12" s="42"/>
      <c r="N12" s="43"/>
      <c r="P12" s="42"/>
      <c r="Q12" s="42"/>
      <c r="R12" s="42"/>
      <c r="S12" s="42"/>
      <c r="T12" s="45"/>
      <c r="U12" s="46"/>
      <c r="V12" s="42"/>
      <c r="W12" s="47"/>
      <c r="Z12" s="46"/>
      <c r="AA12" s="47"/>
    </row>
    <row r="13" spans="2:27" s="39" customFormat="1" ht="20.100000000000001" customHeight="1" x14ac:dyDescent="0.25">
      <c r="B13" s="30">
        <f t="shared" si="0"/>
        <v>46029</v>
      </c>
      <c r="C13" s="48"/>
      <c r="D13" s="49"/>
      <c r="E13" s="49"/>
      <c r="F13" s="50"/>
      <c r="G13" s="51"/>
      <c r="H13" s="49"/>
      <c r="I13" s="49"/>
      <c r="J13" s="52"/>
      <c r="K13" s="49"/>
      <c r="L13" s="49"/>
      <c r="M13" s="49"/>
      <c r="N13" s="50"/>
      <c r="O13" s="51"/>
      <c r="P13" s="49"/>
      <c r="Q13" s="49"/>
      <c r="R13" s="49"/>
      <c r="S13" s="49"/>
      <c r="T13" s="53"/>
      <c r="U13" s="54"/>
      <c r="V13" s="49"/>
      <c r="W13" s="55"/>
      <c r="Z13" s="54"/>
      <c r="AA13" s="55"/>
    </row>
    <row r="14" spans="2:27" s="39" customFormat="1" ht="20.100000000000001" customHeight="1" x14ac:dyDescent="0.25">
      <c r="B14" s="40">
        <f t="shared" si="0"/>
        <v>46030</v>
      </c>
      <c r="C14" s="41"/>
      <c r="D14" s="42"/>
      <c r="E14" s="42"/>
      <c r="F14" s="43"/>
      <c r="H14" s="42"/>
      <c r="I14" s="42"/>
      <c r="J14" s="44"/>
      <c r="K14" s="42"/>
      <c r="L14" s="42"/>
      <c r="M14" s="42"/>
      <c r="N14" s="43"/>
      <c r="P14" s="42"/>
      <c r="Q14" s="42"/>
      <c r="R14" s="42"/>
      <c r="S14" s="42"/>
      <c r="T14" s="45"/>
      <c r="U14" s="46"/>
      <c r="V14" s="42"/>
      <c r="W14" s="47"/>
      <c r="Z14" s="46"/>
      <c r="AA14" s="47"/>
    </row>
    <row r="15" spans="2:27" s="39" customFormat="1" ht="20.100000000000001" customHeight="1" x14ac:dyDescent="0.25">
      <c r="B15" s="30">
        <f t="shared" si="0"/>
        <v>46031</v>
      </c>
      <c r="C15" s="48"/>
      <c r="D15" s="49"/>
      <c r="E15" s="49"/>
      <c r="F15" s="50"/>
      <c r="G15" s="51"/>
      <c r="H15" s="49"/>
      <c r="I15" s="49"/>
      <c r="J15" s="52"/>
      <c r="K15" s="49"/>
      <c r="L15" s="49"/>
      <c r="M15" s="49"/>
      <c r="N15" s="50"/>
      <c r="O15" s="51"/>
      <c r="P15" s="49"/>
      <c r="Q15" s="49"/>
      <c r="R15" s="49"/>
      <c r="S15" s="49"/>
      <c r="T15" s="53"/>
      <c r="U15" s="54"/>
      <c r="V15" s="49"/>
      <c r="W15" s="55"/>
      <c r="Z15" s="54"/>
      <c r="AA15" s="55"/>
    </row>
    <row r="16" spans="2:27" s="39" customFormat="1" ht="20.100000000000001" customHeight="1" x14ac:dyDescent="0.25">
      <c r="B16" s="40">
        <f t="shared" si="0"/>
        <v>46032</v>
      </c>
      <c r="C16" s="41"/>
      <c r="D16" s="42"/>
      <c r="E16" s="42"/>
      <c r="F16" s="43"/>
      <c r="H16" s="42"/>
      <c r="I16" s="42"/>
      <c r="J16" s="44"/>
      <c r="K16" s="42"/>
      <c r="L16" s="42"/>
      <c r="M16" s="42"/>
      <c r="N16" s="43"/>
      <c r="P16" s="42"/>
      <c r="Q16" s="42"/>
      <c r="R16" s="42"/>
      <c r="S16" s="42"/>
      <c r="T16" s="45"/>
      <c r="U16" s="46"/>
      <c r="V16" s="42"/>
      <c r="W16" s="47"/>
      <c r="Z16" s="46"/>
      <c r="AA16" s="47"/>
    </row>
    <row r="17" spans="2:27" s="39" customFormat="1" ht="20.100000000000001" customHeight="1" x14ac:dyDescent="0.25">
      <c r="B17" s="30">
        <f t="shared" si="0"/>
        <v>46033</v>
      </c>
      <c r="C17" s="48"/>
      <c r="D17" s="49"/>
      <c r="E17" s="49"/>
      <c r="F17" s="50"/>
      <c r="G17" s="51"/>
      <c r="H17" s="49"/>
      <c r="I17" s="49"/>
      <c r="J17" s="52"/>
      <c r="K17" s="49"/>
      <c r="L17" s="49"/>
      <c r="M17" s="49"/>
      <c r="N17" s="50"/>
      <c r="O17" s="51"/>
      <c r="P17" s="49"/>
      <c r="Q17" s="49"/>
      <c r="R17" s="49"/>
      <c r="S17" s="49"/>
      <c r="T17" s="53"/>
      <c r="U17" s="54"/>
      <c r="V17" s="49"/>
      <c r="W17" s="55"/>
      <c r="Z17" s="54"/>
      <c r="AA17" s="55"/>
    </row>
    <row r="18" spans="2:27" s="39" customFormat="1" ht="20.100000000000001" customHeight="1" x14ac:dyDescent="0.25">
      <c r="B18" s="40">
        <f t="shared" si="0"/>
        <v>46034</v>
      </c>
      <c r="C18" s="41">
        <v>7140</v>
      </c>
      <c r="D18" s="42">
        <v>1572.0609239999999</v>
      </c>
      <c r="E18" s="42">
        <v>249</v>
      </c>
      <c r="F18" s="43">
        <v>15.839080801425734</v>
      </c>
      <c r="G18" s="39">
        <v>1.8</v>
      </c>
      <c r="H18" s="42">
        <v>220.70290336799999</v>
      </c>
      <c r="I18" s="42">
        <v>1002.3903692217975</v>
      </c>
      <c r="J18" s="44">
        <v>934378.1826700985</v>
      </c>
      <c r="K18" s="42">
        <v>15797.939999999997</v>
      </c>
      <c r="L18" s="42">
        <v>4750.0185945363237</v>
      </c>
      <c r="M18" s="42">
        <v>36</v>
      </c>
      <c r="N18" s="43">
        <v>0.75789176996925345</v>
      </c>
      <c r="O18" s="39">
        <v>0.3</v>
      </c>
      <c r="P18" s="42">
        <v>21.749944216391032</v>
      </c>
      <c r="Q18" s="42">
        <v>78.531946098862832</v>
      </c>
      <c r="R18" s="42">
        <v>10</v>
      </c>
      <c r="S18" s="42">
        <v>3.6</v>
      </c>
      <c r="T18" s="45">
        <v>73203.553556054991</v>
      </c>
      <c r="U18" s="46">
        <f>+E18+M18</f>
        <v>285</v>
      </c>
      <c r="V18" s="42"/>
      <c r="W18" s="47">
        <f t="shared" ref="W18:W23" si="1">+V18-U18</f>
        <v>-285</v>
      </c>
      <c r="Z18" s="46"/>
      <c r="AA18" s="47"/>
    </row>
    <row r="19" spans="2:27" s="39" customFormat="1" ht="20.100000000000001" customHeight="1" x14ac:dyDescent="0.25">
      <c r="B19" s="30">
        <f t="shared" si="0"/>
        <v>46035</v>
      </c>
      <c r="C19" s="48">
        <v>30500</v>
      </c>
      <c r="D19" s="49">
        <v>6715.3862999999983</v>
      </c>
      <c r="E19" s="49">
        <v>292</v>
      </c>
      <c r="F19" s="50">
        <v>4.3482234223815253</v>
      </c>
      <c r="G19" s="51">
        <v>1.8</v>
      </c>
      <c r="H19" s="49">
        <v>171.12304660000007</v>
      </c>
      <c r="I19" s="49">
        <v>777.20814382636536</v>
      </c>
      <c r="J19" s="52">
        <v>724474.57126774651</v>
      </c>
      <c r="K19" s="49">
        <v>17302.71</v>
      </c>
      <c r="L19" s="49">
        <v>5102.9453086124431</v>
      </c>
      <c r="M19" s="49">
        <v>55</v>
      </c>
      <c r="N19" s="50">
        <v>1.0778089255076733</v>
      </c>
      <c r="O19" s="51">
        <v>0.3</v>
      </c>
      <c r="P19" s="49">
        <v>39.691164074162664</v>
      </c>
      <c r="Q19" s="49">
        <v>146.20457502051877</v>
      </c>
      <c r="R19" s="49">
        <v>12</v>
      </c>
      <c r="S19" s="49">
        <v>4.583333333333333</v>
      </c>
      <c r="T19" s="53">
        <v>136284.59460537657</v>
      </c>
      <c r="U19" s="54">
        <f>+E19+M19</f>
        <v>347</v>
      </c>
      <c r="V19" s="49"/>
      <c r="W19" s="55">
        <f t="shared" si="1"/>
        <v>-347</v>
      </c>
      <c r="Z19" s="54"/>
      <c r="AA19" s="55"/>
    </row>
    <row r="20" spans="2:27" s="39" customFormat="1" ht="20.100000000000001" customHeight="1" x14ac:dyDescent="0.25">
      <c r="B20" s="40">
        <f t="shared" si="0"/>
        <v>46036</v>
      </c>
      <c r="C20" s="41">
        <v>24710</v>
      </c>
      <c r="D20" s="42">
        <v>5710.2921259999994</v>
      </c>
      <c r="E20" s="42">
        <v>165</v>
      </c>
      <c r="F20" s="43">
        <v>2.8895194214097204</v>
      </c>
      <c r="G20" s="39">
        <v>1.8</v>
      </c>
      <c r="H20" s="42">
        <v>62.214741732000014</v>
      </c>
      <c r="I20" s="42">
        <v>269.2202490303419</v>
      </c>
      <c r="J20" s="44">
        <v>250953.6551336332</v>
      </c>
      <c r="K20" s="42">
        <v>18998.97</v>
      </c>
      <c r="L20" s="42">
        <v>5305.9339174646739</v>
      </c>
      <c r="M20" s="42">
        <v>68</v>
      </c>
      <c r="N20" s="43">
        <v>1.2815839974217458</v>
      </c>
      <c r="O20" s="39">
        <v>0.3</v>
      </c>
      <c r="P20" s="42">
        <v>52.082198247605973</v>
      </c>
      <c r="Q20" s="42">
        <v>201.55525513589899</v>
      </c>
      <c r="R20" s="42">
        <v>15</v>
      </c>
      <c r="S20" s="42">
        <v>4.5333333333333332</v>
      </c>
      <c r="T20" s="45">
        <v>187879.73107492825</v>
      </c>
      <c r="U20" s="46">
        <f>+E20+M20</f>
        <v>233</v>
      </c>
      <c r="V20" s="42">
        <v>592</v>
      </c>
      <c r="W20" s="47">
        <f t="shared" si="1"/>
        <v>359</v>
      </c>
      <c r="Z20" s="46"/>
      <c r="AA20" s="47"/>
    </row>
    <row r="21" spans="2:27" s="39" customFormat="1" ht="20.100000000000001" customHeight="1" x14ac:dyDescent="0.25">
      <c r="B21" s="30">
        <f t="shared" si="0"/>
        <v>46037</v>
      </c>
      <c r="C21" s="48">
        <v>24850</v>
      </c>
      <c r="D21" s="49">
        <v>6839.2965199999999</v>
      </c>
      <c r="E21" s="49">
        <v>605</v>
      </c>
      <c r="F21" s="50">
        <v>8.8459390264892335</v>
      </c>
      <c r="G21" s="51">
        <v>1.8</v>
      </c>
      <c r="H21" s="49">
        <v>481.89266263999997</v>
      </c>
      <c r="I21" s="49">
        <v>1750.9158480825743</v>
      </c>
      <c r="J21" s="52">
        <v>1632116.2077901715</v>
      </c>
      <c r="K21" s="49">
        <v>19039.34</v>
      </c>
      <c r="L21" s="49">
        <v>5300.5689590943875</v>
      </c>
      <c r="M21" s="49">
        <v>67</v>
      </c>
      <c r="N21" s="50">
        <v>1.2640152503826132</v>
      </c>
      <c r="O21" s="51">
        <v>0.3</v>
      </c>
      <c r="P21" s="49">
        <v>51.098293122716832</v>
      </c>
      <c r="Q21" s="49">
        <v>198.11228520747184</v>
      </c>
      <c r="R21" s="49">
        <v>7</v>
      </c>
      <c r="S21" s="49">
        <v>9.5714285714285712</v>
      </c>
      <c r="T21" s="53">
        <v>184670.36665614488</v>
      </c>
      <c r="U21" s="54">
        <f>+E21+M21</f>
        <v>672</v>
      </c>
      <c r="V21" s="49">
        <v>359</v>
      </c>
      <c r="W21" s="55">
        <f t="shared" si="1"/>
        <v>-313</v>
      </c>
      <c r="Z21" s="54"/>
      <c r="AA21" s="55"/>
    </row>
    <row r="22" spans="2:27" s="39" customFormat="1" ht="20.100000000000001" customHeight="1" x14ac:dyDescent="0.25">
      <c r="B22" s="40">
        <f t="shared" si="0"/>
        <v>46038</v>
      </c>
      <c r="C22" s="41">
        <v>22600</v>
      </c>
      <c r="D22" s="42">
        <v>6220.0443199999991</v>
      </c>
      <c r="E22" s="42">
        <v>694</v>
      </c>
      <c r="F22" s="43">
        <v>11.157476768589971</v>
      </c>
      <c r="G22" s="39">
        <v>1.8</v>
      </c>
      <c r="H22" s="42">
        <v>582.03920224000001</v>
      </c>
      <c r="I22" s="42">
        <v>2114.7897497013337</v>
      </c>
      <c r="J22" s="44">
        <v>1971301.2651840982</v>
      </c>
      <c r="K22" s="42">
        <v>17503.309999999998</v>
      </c>
      <c r="L22" s="42">
        <v>4870.9430237760807</v>
      </c>
      <c r="M22" s="42">
        <v>13</v>
      </c>
      <c r="N22" s="43">
        <v>0.26688877156937185</v>
      </c>
      <c r="O22" s="39">
        <v>0.3</v>
      </c>
      <c r="P22" s="42"/>
      <c r="Q22" s="42"/>
      <c r="R22" s="42">
        <v>4</v>
      </c>
      <c r="S22" s="42">
        <v>3.25</v>
      </c>
      <c r="T22" s="45"/>
      <c r="U22" s="46">
        <f>+E22+M22</f>
        <v>707</v>
      </c>
      <c r="V22" s="42">
        <v>132</v>
      </c>
      <c r="W22" s="47">
        <f t="shared" si="1"/>
        <v>-575</v>
      </c>
      <c r="Z22" s="46"/>
      <c r="AA22" s="47"/>
    </row>
    <row r="23" spans="2:27" s="39" customFormat="1" ht="20.100000000000001" customHeight="1" x14ac:dyDescent="0.25">
      <c r="B23" s="30">
        <f t="shared" si="0"/>
        <v>46039</v>
      </c>
      <c r="C23" s="48">
        <v>12634</v>
      </c>
      <c r="D23" s="49">
        <v>3477.1699087999991</v>
      </c>
      <c r="E23" s="49">
        <v>418</v>
      </c>
      <c r="F23" s="50">
        <v>12.021270486153936</v>
      </c>
      <c r="G23" s="51">
        <v>1.8</v>
      </c>
      <c r="H23" s="49">
        <v>355.4109416416</v>
      </c>
      <c r="I23" s="49">
        <v>1291.355313220688</v>
      </c>
      <c r="J23" s="52">
        <v>1203736.8552186643</v>
      </c>
      <c r="K23" s="49">
        <v>17171.11</v>
      </c>
      <c r="L23" s="49">
        <v>4779.586117944933</v>
      </c>
      <c r="M23" s="49">
        <v>3</v>
      </c>
      <c r="N23" s="50">
        <v>6.2766941027310175E-2</v>
      </c>
      <c r="O23" s="51">
        <v>0.3</v>
      </c>
      <c r="P23" s="49"/>
      <c r="Q23" s="49"/>
      <c r="R23" s="49">
        <v>2</v>
      </c>
      <c r="S23" s="49">
        <v>1.5</v>
      </c>
      <c r="T23" s="53"/>
      <c r="U23" s="54">
        <f>+E23+M23</f>
        <v>421</v>
      </c>
      <c r="V23" s="49">
        <v>1200</v>
      </c>
      <c r="W23" s="55">
        <f t="shared" si="1"/>
        <v>779</v>
      </c>
      <c r="Z23" s="54"/>
      <c r="AA23" s="55"/>
    </row>
    <row r="24" spans="2:27" s="39" customFormat="1" ht="20.100000000000001" customHeight="1" x14ac:dyDescent="0.25">
      <c r="B24" s="40">
        <f t="shared" si="0"/>
        <v>46040</v>
      </c>
      <c r="C24" s="41"/>
      <c r="D24" s="42"/>
      <c r="E24" s="42"/>
      <c r="F24" s="43"/>
      <c r="H24" s="42"/>
      <c r="I24" s="42"/>
      <c r="J24" s="44"/>
      <c r="K24" s="42"/>
      <c r="L24" s="42"/>
      <c r="M24" s="42"/>
      <c r="N24" s="43"/>
      <c r="P24" s="42"/>
      <c r="Q24" s="42"/>
      <c r="R24" s="42"/>
      <c r="S24" s="42"/>
      <c r="T24" s="45"/>
      <c r="U24" s="46"/>
      <c r="V24" s="42"/>
      <c r="W24" s="47"/>
      <c r="Z24" s="46"/>
      <c r="AA24" s="47"/>
    </row>
    <row r="25" spans="2:27" s="39" customFormat="1" ht="20.100000000000001" customHeight="1" x14ac:dyDescent="0.25">
      <c r="B25" s="30">
        <f t="shared" si="0"/>
        <v>46041</v>
      </c>
      <c r="C25" s="48">
        <v>35750</v>
      </c>
      <c r="D25" s="49">
        <v>9839.2293999999965</v>
      </c>
      <c r="E25" s="49">
        <v>638</v>
      </c>
      <c r="F25" s="50">
        <v>6.4842476383363952</v>
      </c>
      <c r="G25" s="51">
        <v>1.8</v>
      </c>
      <c r="H25" s="49">
        <v>460.89387080000012</v>
      </c>
      <c r="I25" s="49">
        <v>1674.6185307052615</v>
      </c>
      <c r="J25" s="52">
        <v>1560995.6633969094</v>
      </c>
      <c r="K25" s="49">
        <v>36604.469999999987</v>
      </c>
      <c r="L25" s="49">
        <v>10314.85486372408</v>
      </c>
      <c r="M25" s="49"/>
      <c r="N25" s="50"/>
      <c r="O25" s="51">
        <v>0.3</v>
      </c>
      <c r="P25" s="49"/>
      <c r="Q25" s="49"/>
      <c r="R25" s="49">
        <v>10</v>
      </c>
      <c r="S25" s="49">
        <v>0</v>
      </c>
      <c r="T25" s="53"/>
      <c r="U25" s="54">
        <f>+E25+M25</f>
        <v>638</v>
      </c>
      <c r="V25" s="49">
        <v>693</v>
      </c>
      <c r="W25" s="55">
        <f>+V25-U25</f>
        <v>55</v>
      </c>
      <c r="Z25" s="54"/>
      <c r="AA25" s="55"/>
    </row>
    <row r="26" spans="2:27" s="39" customFormat="1" ht="20.100000000000001" customHeight="1" x14ac:dyDescent="0.25">
      <c r="B26" s="40">
        <f t="shared" si="0"/>
        <v>46042</v>
      </c>
      <c r="C26" s="41"/>
      <c r="D26" s="42"/>
      <c r="E26" s="42"/>
      <c r="F26" s="43"/>
      <c r="H26" s="42"/>
      <c r="I26" s="42"/>
      <c r="J26" s="44"/>
      <c r="K26" s="42"/>
      <c r="L26" s="42"/>
      <c r="M26" s="42"/>
      <c r="N26" s="43"/>
      <c r="P26" s="42"/>
      <c r="Q26" s="42"/>
      <c r="R26" s="42"/>
      <c r="S26" s="42"/>
      <c r="T26" s="45"/>
      <c r="U26" s="46"/>
      <c r="V26" s="42"/>
      <c r="W26" s="47"/>
      <c r="Z26" s="46"/>
      <c r="AA26" s="47"/>
    </row>
    <row r="27" spans="2:27" s="39" customFormat="1" ht="20.100000000000001" customHeight="1" x14ac:dyDescent="0.25">
      <c r="B27" s="30">
        <f t="shared" si="0"/>
        <v>46043</v>
      </c>
      <c r="C27" s="48"/>
      <c r="D27" s="49"/>
      <c r="E27" s="49"/>
      <c r="F27" s="50"/>
      <c r="G27" s="51"/>
      <c r="H27" s="49"/>
      <c r="I27" s="49"/>
      <c r="J27" s="52"/>
      <c r="K27" s="49"/>
      <c r="L27" s="49"/>
      <c r="M27" s="49"/>
      <c r="N27" s="50"/>
      <c r="O27" s="51"/>
      <c r="P27" s="49"/>
      <c r="Q27" s="49"/>
      <c r="R27" s="49"/>
      <c r="S27" s="49"/>
      <c r="T27" s="53"/>
      <c r="U27" s="54"/>
      <c r="V27" s="49"/>
      <c r="W27" s="55"/>
      <c r="Z27" s="54"/>
      <c r="AA27" s="55"/>
    </row>
    <row r="28" spans="2:27" s="39" customFormat="1" ht="20.100000000000001" customHeight="1" x14ac:dyDescent="0.25">
      <c r="B28" s="40">
        <f t="shared" si="0"/>
        <v>46044</v>
      </c>
      <c r="C28" s="41"/>
      <c r="D28" s="42"/>
      <c r="E28" s="42"/>
      <c r="F28" s="43"/>
      <c r="H28" s="42"/>
      <c r="I28" s="42"/>
      <c r="J28" s="44"/>
      <c r="K28" s="42"/>
      <c r="L28" s="42"/>
      <c r="M28" s="42"/>
      <c r="N28" s="43"/>
      <c r="P28" s="42"/>
      <c r="Q28" s="42"/>
      <c r="R28" s="42"/>
      <c r="S28" s="42"/>
      <c r="T28" s="45"/>
      <c r="U28" s="46"/>
      <c r="V28" s="42"/>
      <c r="W28" s="47"/>
      <c r="Z28" s="46"/>
      <c r="AA28" s="47"/>
    </row>
    <row r="29" spans="2:27" s="39" customFormat="1" ht="20.100000000000001" customHeight="1" x14ac:dyDescent="0.25">
      <c r="B29" s="30">
        <f t="shared" si="0"/>
        <v>46045</v>
      </c>
      <c r="C29" s="48"/>
      <c r="D29" s="49"/>
      <c r="E29" s="49"/>
      <c r="F29" s="50"/>
      <c r="G29" s="51"/>
      <c r="H29" s="49"/>
      <c r="I29" s="49"/>
      <c r="J29" s="52"/>
      <c r="K29" s="49"/>
      <c r="L29" s="49"/>
      <c r="M29" s="49"/>
      <c r="N29" s="50"/>
      <c r="O29" s="51"/>
      <c r="P29" s="49"/>
      <c r="Q29" s="49"/>
      <c r="R29" s="49"/>
      <c r="S29" s="49"/>
      <c r="T29" s="53"/>
      <c r="U29" s="54"/>
      <c r="V29" s="49"/>
      <c r="W29" s="55"/>
      <c r="Z29" s="54"/>
      <c r="AA29" s="55"/>
    </row>
    <row r="30" spans="2:27" s="39" customFormat="1" ht="20.100000000000001" customHeight="1" x14ac:dyDescent="0.25">
      <c r="B30" s="40">
        <f t="shared" si="0"/>
        <v>46046</v>
      </c>
      <c r="C30" s="41"/>
      <c r="D30" s="42"/>
      <c r="E30" s="42"/>
      <c r="F30" s="43"/>
      <c r="H30" s="42"/>
      <c r="I30" s="42"/>
      <c r="J30" s="44"/>
      <c r="K30" s="42"/>
      <c r="L30" s="42"/>
      <c r="M30" s="42"/>
      <c r="N30" s="43"/>
      <c r="P30" s="42"/>
      <c r="Q30" s="42"/>
      <c r="R30" s="42"/>
      <c r="S30" s="42"/>
      <c r="T30" s="45"/>
      <c r="U30" s="46"/>
      <c r="V30" s="42"/>
      <c r="W30" s="47"/>
      <c r="Z30" s="46"/>
      <c r="AA30" s="47"/>
    </row>
    <row r="31" spans="2:27" s="39" customFormat="1" ht="20.100000000000001" customHeight="1" x14ac:dyDescent="0.25">
      <c r="B31" s="30">
        <f t="shared" si="0"/>
        <v>46047</v>
      </c>
      <c r="C31" s="48"/>
      <c r="D31" s="49"/>
      <c r="E31" s="49"/>
      <c r="F31" s="50"/>
      <c r="G31" s="51"/>
      <c r="H31" s="49"/>
      <c r="I31" s="49"/>
      <c r="J31" s="52"/>
      <c r="K31" s="49"/>
      <c r="L31" s="49"/>
      <c r="M31" s="49"/>
      <c r="N31" s="50"/>
      <c r="O31" s="51"/>
      <c r="P31" s="49"/>
      <c r="Q31" s="49"/>
      <c r="R31" s="49"/>
      <c r="S31" s="49"/>
      <c r="T31" s="53"/>
      <c r="U31" s="54"/>
      <c r="V31" s="49"/>
      <c r="W31" s="55"/>
      <c r="Z31" s="54"/>
      <c r="AA31" s="55"/>
    </row>
    <row r="32" spans="2:27" s="39" customFormat="1" ht="20.100000000000001" customHeight="1" x14ac:dyDescent="0.25">
      <c r="B32" s="40">
        <f t="shared" si="0"/>
        <v>46048</v>
      </c>
      <c r="C32" s="41"/>
      <c r="D32" s="42"/>
      <c r="E32" s="42"/>
      <c r="F32" s="43"/>
      <c r="H32" s="42"/>
      <c r="I32" s="42"/>
      <c r="J32" s="44"/>
      <c r="K32" s="42"/>
      <c r="L32" s="42"/>
      <c r="M32" s="42"/>
      <c r="N32" s="43"/>
      <c r="P32" s="42"/>
      <c r="Q32" s="42"/>
      <c r="R32" s="42"/>
      <c r="S32" s="42"/>
      <c r="T32" s="45"/>
      <c r="U32" s="46"/>
      <c r="V32" s="42"/>
      <c r="W32" s="47"/>
      <c r="Z32" s="46"/>
      <c r="AA32" s="47"/>
    </row>
    <row r="33" spans="2:27" s="39" customFormat="1" ht="20.100000000000001" customHeight="1" x14ac:dyDescent="0.25">
      <c r="B33" s="30">
        <f t="shared" si="0"/>
        <v>46049</v>
      </c>
      <c r="C33" s="48"/>
      <c r="D33" s="49"/>
      <c r="E33" s="49"/>
      <c r="F33" s="50"/>
      <c r="G33" s="51"/>
      <c r="H33" s="49"/>
      <c r="I33" s="49"/>
      <c r="J33" s="52"/>
      <c r="K33" s="49"/>
      <c r="L33" s="49"/>
      <c r="M33" s="49"/>
      <c r="N33" s="50"/>
      <c r="O33" s="51"/>
      <c r="P33" s="49"/>
      <c r="Q33" s="49"/>
      <c r="R33" s="49"/>
      <c r="S33" s="49"/>
      <c r="T33" s="53"/>
      <c r="U33" s="54"/>
      <c r="V33" s="49"/>
      <c r="W33" s="55"/>
      <c r="Z33" s="54"/>
      <c r="AA33" s="55"/>
    </row>
    <row r="34" spans="2:27" s="39" customFormat="1" ht="20.100000000000001" customHeight="1" x14ac:dyDescent="0.25">
      <c r="B34" s="40">
        <f t="shared" si="0"/>
        <v>46050</v>
      </c>
      <c r="C34" s="41"/>
      <c r="D34" s="42"/>
      <c r="E34" s="42"/>
      <c r="F34" s="43"/>
      <c r="H34" s="42"/>
      <c r="I34" s="42"/>
      <c r="J34" s="44"/>
      <c r="K34" s="42"/>
      <c r="L34" s="42"/>
      <c r="M34" s="42"/>
      <c r="N34" s="43"/>
      <c r="P34" s="42"/>
      <c r="Q34" s="42"/>
      <c r="R34" s="42"/>
      <c r="S34" s="42"/>
      <c r="T34" s="45"/>
      <c r="U34" s="46"/>
      <c r="V34" s="42"/>
      <c r="W34" s="47"/>
      <c r="Z34" s="46"/>
      <c r="AA34" s="47"/>
    </row>
    <row r="35" spans="2:27" s="39" customFormat="1" ht="20.100000000000001" customHeight="1" x14ac:dyDescent="0.25">
      <c r="B35" s="30">
        <f t="shared" si="0"/>
        <v>46051</v>
      </c>
      <c r="C35" s="48"/>
      <c r="D35" s="49"/>
      <c r="E35" s="49"/>
      <c r="F35" s="50"/>
      <c r="G35" s="51"/>
      <c r="H35" s="49"/>
      <c r="I35" s="49"/>
      <c r="J35" s="52"/>
      <c r="K35" s="49"/>
      <c r="L35" s="49"/>
      <c r="M35" s="49"/>
      <c r="N35" s="50"/>
      <c r="O35" s="51"/>
      <c r="P35" s="49"/>
      <c r="Q35" s="49"/>
      <c r="R35" s="49"/>
      <c r="S35" s="49"/>
      <c r="T35" s="53"/>
      <c r="U35" s="54"/>
      <c r="V35" s="49"/>
      <c r="W35" s="55"/>
      <c r="Z35" s="54"/>
      <c r="AA35" s="55"/>
    </row>
    <row r="36" spans="2:27" s="39" customFormat="1" ht="20.100000000000001" customHeight="1" x14ac:dyDescent="0.25">
      <c r="B36" s="40">
        <f t="shared" si="0"/>
        <v>46052</v>
      </c>
      <c r="C36" s="41"/>
      <c r="D36" s="42"/>
      <c r="E36" s="42"/>
      <c r="F36" s="56"/>
      <c r="H36" s="42"/>
      <c r="I36" s="42"/>
      <c r="J36" s="44"/>
      <c r="K36" s="42"/>
      <c r="L36" s="42"/>
      <c r="M36" s="42"/>
      <c r="N36" s="43"/>
      <c r="P36" s="42"/>
      <c r="Q36" s="42"/>
      <c r="R36" s="42"/>
      <c r="S36" s="42"/>
      <c r="T36" s="45"/>
      <c r="U36" s="46"/>
      <c r="V36" s="42"/>
      <c r="W36" s="47"/>
      <c r="Z36" s="46"/>
      <c r="AA36" s="47"/>
    </row>
    <row r="37" spans="2:27" s="39" customFormat="1" ht="20.100000000000001" customHeight="1" thickBot="1" x14ac:dyDescent="0.3">
      <c r="B37" s="30">
        <f t="shared" si="0"/>
        <v>46053</v>
      </c>
      <c r="C37" s="48"/>
      <c r="D37" s="49"/>
      <c r="E37" s="49"/>
      <c r="F37" s="57"/>
      <c r="G37" s="51"/>
      <c r="H37" s="49"/>
      <c r="I37" s="49"/>
      <c r="J37" s="52"/>
      <c r="K37" s="49"/>
      <c r="L37" s="49"/>
      <c r="M37" s="49"/>
      <c r="N37" s="50"/>
      <c r="O37" s="51"/>
      <c r="P37" s="49"/>
      <c r="Q37" s="49"/>
      <c r="R37" s="49"/>
      <c r="S37" s="49"/>
      <c r="T37" s="53"/>
      <c r="U37" s="54"/>
      <c r="V37" s="49"/>
      <c r="W37" s="55"/>
      <c r="Z37" s="54"/>
      <c r="AA37" s="55"/>
    </row>
    <row r="38" spans="2:27" s="69" customFormat="1" ht="24.95" customHeight="1" thickTop="1" x14ac:dyDescent="0.25">
      <c r="B38" s="58"/>
      <c r="C38" s="59">
        <f>SUM(C7:C37)</f>
        <v>158184</v>
      </c>
      <c r="D38" s="60">
        <f>SUM(D7:D37)</f>
        <v>40373.479498799992</v>
      </c>
      <c r="E38" s="60">
        <f>SUM(E7:E37)</f>
        <v>3061</v>
      </c>
      <c r="F38" s="61">
        <f>E38/D38*100</f>
        <v>7.5817096717932895</v>
      </c>
      <c r="G38" s="62">
        <v>1.8</v>
      </c>
      <c r="H38" s="63">
        <f t="shared" ref="H38:M38" si="2">SUM(H7:H37)</f>
        <v>2334.2773690216</v>
      </c>
      <c r="I38" s="60">
        <f t="shared" si="2"/>
        <v>8880.4982037883619</v>
      </c>
      <c r="J38" s="64">
        <f t="shared" si="2"/>
        <v>8277956.4006613214</v>
      </c>
      <c r="K38" s="60">
        <f t="shared" si="2"/>
        <v>142417.84999999998</v>
      </c>
      <c r="L38" s="60">
        <f t="shared" si="2"/>
        <v>40424.850785152928</v>
      </c>
      <c r="M38" s="60">
        <f t="shared" si="2"/>
        <v>242</v>
      </c>
      <c r="N38" s="65">
        <f>M38/L38*100</f>
        <v>0.59864166546010045</v>
      </c>
      <c r="O38" s="62">
        <v>0.3</v>
      </c>
      <c r="P38" s="63">
        <f>SUM(P7:P37)</f>
        <v>164.62159966087651</v>
      </c>
      <c r="Q38" s="60">
        <f>SUM(Q7:Q37)</f>
        <v>624.40406146275245</v>
      </c>
      <c r="R38" s="60">
        <f>SUM(R7:R37)</f>
        <v>60</v>
      </c>
      <c r="S38" s="60">
        <f>SUM(S7:S37)</f>
        <v>27.038095238095238</v>
      </c>
      <c r="T38" s="66">
        <f>SUM(T7:T37)</f>
        <v>582038.2458925047</v>
      </c>
      <c r="U38" s="67">
        <f>SUM(U7:U37)</f>
        <v>3303</v>
      </c>
      <c r="V38" s="60">
        <f>SUM(V7:V37)</f>
        <v>2976</v>
      </c>
      <c r="W38" s="68">
        <f>+V38-U38</f>
        <v>-327</v>
      </c>
      <c r="Y38" s="69">
        <f>+SUM(Y7:Y37)</f>
        <v>0</v>
      </c>
      <c r="Z38" s="67">
        <f>+SUM(Z7:Z37)</f>
        <v>0</v>
      </c>
      <c r="AA38" s="68">
        <f>+SUM(AA7:AA37)</f>
        <v>0</v>
      </c>
    </row>
  </sheetData>
  <mergeCells count="7">
    <mergeCell ref="Z5:AA5"/>
    <mergeCell ref="B2:B3"/>
    <mergeCell ref="C2:T2"/>
    <mergeCell ref="U2:W2"/>
    <mergeCell ref="C3:T3"/>
    <mergeCell ref="U3:W3"/>
    <mergeCell ref="U5:W5"/>
  </mergeCells>
  <conditionalFormatting sqref="F7:F38">
    <cfRule type="cellIs" dxfId="4" priority="5" operator="greaterThan">
      <formula>1.8</formula>
    </cfRule>
  </conditionalFormatting>
  <conditionalFormatting sqref="N7:N38">
    <cfRule type="cellIs" dxfId="3" priority="4" operator="greaterThan">
      <formula>0.3</formula>
    </cfRule>
  </conditionalFormatting>
  <conditionalFormatting sqref="W7:W38">
    <cfRule type="cellIs" dxfId="2" priority="3" operator="lessThan">
      <formula>0</formula>
    </cfRule>
  </conditionalFormatting>
  <conditionalFormatting sqref="Z38:AA38">
    <cfRule type="cellIs" dxfId="1" priority="2" operator="lessThan">
      <formula>0</formula>
    </cfRule>
  </conditionalFormatting>
  <conditionalFormatting sqref="Z7:AA7">
    <cfRule type="cellIs" dxfId="0" priority="1" operator="lessThan">
      <formula>0</formula>
    </cfRule>
  </conditionalFormatting>
  <printOptions horizontalCentered="1"/>
  <pageMargins left="0.19685039370078741" right="0.19685039370078741" top="0.19685039370078741" bottom="0.39370078740157483" header="0.19685039370078741" footer="0.19685039370078741"/>
  <pageSetup paperSize="9" scale="65" orientation="landscape" r:id="rId1"/>
  <headerFooter>
    <oddFooter>&amp;L&amp;Z&amp;F&amp;RPágina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Resumen Día</vt:lpstr>
      <vt:lpstr>'Resumen Día'!Área_de_impresión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2026-02-03T15:31:42Z</dcterms:created>
  <dcterms:modified xsi:type="dcterms:W3CDTF">2026-02-03T15:32:21Z</dcterms:modified>
</cp:coreProperties>
</file>